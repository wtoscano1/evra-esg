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9E20BD4A-64B5-4928-AD57-6AB563F85144}" xr6:coauthVersionLast="47" xr6:coauthVersionMax="47" xr10:uidLastSave="{00000000-0000-0000-0000-000000000000}"/>
  <bookViews>
    <workbookView xWindow="-108" yWindow="-108" windowWidth="19416" windowHeight="10296" firstSheet="2" activeTab="3" xr2:uid="{00000000-000D-0000-FFFF-FFFF00000000}"/>
  </bookViews>
  <sheets>
    <sheet name="BoP SUMMARY" sheetId="59" r:id="rId1"/>
    <sheet name="CF SITES" sheetId="55" r:id="rId2"/>
    <sheet name="SITE Model - INPUT PARAMETERS" sheetId="14" r:id="rId3"/>
    <sheet name="SITES Conld. P&amp;L" sheetId="50" r:id="rId4"/>
    <sheet name="Site Geneva revenues A" sheetId="60" r:id="rId5"/>
    <sheet name="Site Geneva revenues B" sheetId="61" r:id="rId6"/>
    <sheet name="Site Geneva revenues C" sheetId="62" r:id="rId7"/>
    <sheet name="Site Zurich revenues A " sheetId="64" r:id="rId8"/>
    <sheet name="Site Zurch revenues B " sheetId="65" r:id="rId9"/>
    <sheet name="Site Zurich revenues C " sheetId="66" r:id="rId10"/>
    <sheet name="Site Loc 3 revenues A  " sheetId="67" r:id="rId11"/>
    <sheet name="Site Loc 3 revenues B  " sheetId="68" r:id="rId12"/>
    <sheet name="Site Loc 3 revenues C " sheetId="69" r:id="rId13"/>
    <sheet name="Site Loc 4 revenues A   " sheetId="70" r:id="rId14"/>
    <sheet name="Site Loc 4 revenues B   " sheetId="71" r:id="rId15"/>
    <sheet name="Site Loc 4 revenues C  " sheetId="72" r:id="rId16"/>
    <sheet name="Site Loc 5 revenues A    " sheetId="73" r:id="rId17"/>
    <sheet name="Site Loc 5 revenues B    " sheetId="74" r:id="rId18"/>
    <sheet name="Site Loc  revenues C   " sheetId="76" r:id="rId19"/>
  </sheets>
  <definedNames>
    <definedName name="_xlnm.Print_Area" localSheetId="3">'SITES Conld. P&amp;L'!$A$1:$AB$60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9" i="50" l="1"/>
  <c r="K49" i="50" s="1"/>
  <c r="L49" i="50" s="1"/>
  <c r="M49" i="50" s="1"/>
  <c r="N49" i="50" s="1"/>
  <c r="O49" i="50" s="1"/>
  <c r="P49" i="50" s="1"/>
  <c r="Q49" i="50" s="1"/>
  <c r="R49" i="50" s="1"/>
  <c r="S49" i="50" s="1"/>
  <c r="T49" i="50" s="1"/>
  <c r="U49" i="50" s="1"/>
  <c r="V49" i="50" s="1"/>
  <c r="W49" i="50" s="1"/>
  <c r="X49" i="50" s="1"/>
  <c r="Y49" i="50" s="1"/>
  <c r="Z49" i="50" s="1"/>
  <c r="AA49" i="50" s="1"/>
  <c r="AB49" i="50" s="1"/>
  <c r="I49" i="50"/>
  <c r="J48" i="50"/>
  <c r="K48" i="50" s="1"/>
  <c r="L48" i="50" s="1"/>
  <c r="M48" i="50" s="1"/>
  <c r="N48" i="50" s="1"/>
  <c r="O48" i="50" s="1"/>
  <c r="P48" i="50" s="1"/>
  <c r="Q48" i="50" s="1"/>
  <c r="R48" i="50" s="1"/>
  <c r="S48" i="50" s="1"/>
  <c r="T48" i="50" s="1"/>
  <c r="U48" i="50" s="1"/>
  <c r="V48" i="50" s="1"/>
  <c r="W48" i="50" s="1"/>
  <c r="X48" i="50" s="1"/>
  <c r="Y48" i="50" s="1"/>
  <c r="Z48" i="50" s="1"/>
  <c r="AA48" i="50" s="1"/>
  <c r="AB48" i="50" s="1"/>
  <c r="I48" i="50"/>
  <c r="J47" i="50"/>
  <c r="K47" i="50" s="1"/>
  <c r="L47" i="50" s="1"/>
  <c r="M47" i="50" s="1"/>
  <c r="N47" i="50" s="1"/>
  <c r="O47" i="50" s="1"/>
  <c r="P47" i="50" s="1"/>
  <c r="Q47" i="50" s="1"/>
  <c r="R47" i="50" s="1"/>
  <c r="S47" i="50" s="1"/>
  <c r="T47" i="50" s="1"/>
  <c r="U47" i="50" s="1"/>
  <c r="V47" i="50" s="1"/>
  <c r="W47" i="50" s="1"/>
  <c r="X47" i="50" s="1"/>
  <c r="Y47" i="50" s="1"/>
  <c r="Z47" i="50" s="1"/>
  <c r="AA47" i="50" s="1"/>
  <c r="AB47" i="50" s="1"/>
  <c r="I47" i="50"/>
  <c r="J46" i="50"/>
  <c r="K46" i="50" s="1"/>
  <c r="L46" i="50" s="1"/>
  <c r="M46" i="50" s="1"/>
  <c r="N46" i="50" s="1"/>
  <c r="O46" i="50" s="1"/>
  <c r="P46" i="50" s="1"/>
  <c r="Q46" i="50" s="1"/>
  <c r="R46" i="50" s="1"/>
  <c r="S46" i="50" s="1"/>
  <c r="T46" i="50" s="1"/>
  <c r="U46" i="50" s="1"/>
  <c r="V46" i="50" s="1"/>
  <c r="W46" i="50" s="1"/>
  <c r="X46" i="50" s="1"/>
  <c r="Y46" i="50" s="1"/>
  <c r="Z46" i="50" s="1"/>
  <c r="AA46" i="50" s="1"/>
  <c r="AB46" i="50" s="1"/>
  <c r="I46" i="50"/>
  <c r="J45" i="50"/>
  <c r="K45" i="50" s="1"/>
  <c r="L45" i="50" s="1"/>
  <c r="M45" i="50" s="1"/>
  <c r="N45" i="50" s="1"/>
  <c r="O45" i="50" s="1"/>
  <c r="P45" i="50" s="1"/>
  <c r="Q45" i="50" s="1"/>
  <c r="R45" i="50" s="1"/>
  <c r="S45" i="50" s="1"/>
  <c r="T45" i="50" s="1"/>
  <c r="U45" i="50" s="1"/>
  <c r="V45" i="50" s="1"/>
  <c r="W45" i="50" s="1"/>
  <c r="X45" i="50" s="1"/>
  <c r="Y45" i="50" s="1"/>
  <c r="Z45" i="50" s="1"/>
  <c r="AA45" i="50" s="1"/>
  <c r="AB45" i="50" s="1"/>
  <c r="I45" i="50"/>
  <c r="J43" i="50"/>
  <c r="K43" i="50" s="1"/>
  <c r="L43" i="50" s="1"/>
  <c r="M43" i="50" s="1"/>
  <c r="N43" i="50" s="1"/>
  <c r="O43" i="50" s="1"/>
  <c r="P43" i="50" s="1"/>
  <c r="Q43" i="50" s="1"/>
  <c r="R43" i="50" s="1"/>
  <c r="S43" i="50" s="1"/>
  <c r="T43" i="50" s="1"/>
  <c r="U43" i="50" s="1"/>
  <c r="V43" i="50" s="1"/>
  <c r="W43" i="50" s="1"/>
  <c r="X43" i="50" s="1"/>
  <c r="Y43" i="50" s="1"/>
  <c r="Z43" i="50" s="1"/>
  <c r="AA43" i="50" s="1"/>
  <c r="AB43" i="50" s="1"/>
  <c r="I43" i="50"/>
  <c r="J42" i="50"/>
  <c r="K42" i="50" s="1"/>
  <c r="L42" i="50" s="1"/>
  <c r="M42" i="50" s="1"/>
  <c r="N42" i="50" s="1"/>
  <c r="O42" i="50" s="1"/>
  <c r="P42" i="50" s="1"/>
  <c r="Q42" i="50" s="1"/>
  <c r="R42" i="50" s="1"/>
  <c r="S42" i="50" s="1"/>
  <c r="T42" i="50" s="1"/>
  <c r="U42" i="50" s="1"/>
  <c r="V42" i="50" s="1"/>
  <c r="W42" i="50" s="1"/>
  <c r="X42" i="50" s="1"/>
  <c r="Y42" i="50" s="1"/>
  <c r="Z42" i="50" s="1"/>
  <c r="AA42" i="50" s="1"/>
  <c r="AB42" i="50" s="1"/>
  <c r="I42" i="50"/>
  <c r="J41" i="50"/>
  <c r="K41" i="50" s="1"/>
  <c r="L41" i="50" s="1"/>
  <c r="M41" i="50" s="1"/>
  <c r="N41" i="50" s="1"/>
  <c r="O41" i="50" s="1"/>
  <c r="P41" i="50" s="1"/>
  <c r="Q41" i="50" s="1"/>
  <c r="R41" i="50" s="1"/>
  <c r="S41" i="50" s="1"/>
  <c r="T41" i="50" s="1"/>
  <c r="U41" i="50" s="1"/>
  <c r="V41" i="50" s="1"/>
  <c r="W41" i="50" s="1"/>
  <c r="X41" i="50" s="1"/>
  <c r="Y41" i="50" s="1"/>
  <c r="Z41" i="50" s="1"/>
  <c r="AA41" i="50" s="1"/>
  <c r="AB41" i="50" s="1"/>
  <c r="K40" i="50"/>
  <c r="L40" i="50" s="1"/>
  <c r="M40" i="50" s="1"/>
  <c r="N40" i="50" s="1"/>
  <c r="O40" i="50" s="1"/>
  <c r="P40" i="50" s="1"/>
  <c r="Q40" i="50" s="1"/>
  <c r="R40" i="50" s="1"/>
  <c r="S40" i="50" s="1"/>
  <c r="T40" i="50" s="1"/>
  <c r="U40" i="50" s="1"/>
  <c r="V40" i="50" s="1"/>
  <c r="W40" i="50" s="1"/>
  <c r="X40" i="50" s="1"/>
  <c r="Y40" i="50" s="1"/>
  <c r="Z40" i="50" s="1"/>
  <c r="AA40" i="50" s="1"/>
  <c r="AB40" i="50" s="1"/>
  <c r="I41" i="50"/>
  <c r="J40" i="50"/>
  <c r="I40" i="50"/>
  <c r="H49" i="50"/>
  <c r="H48" i="50"/>
  <c r="H47" i="50"/>
  <c r="H46" i="50"/>
  <c r="H45" i="50"/>
  <c r="H43" i="50"/>
  <c r="H42" i="50"/>
  <c r="H41" i="50"/>
  <c r="H40" i="50"/>
  <c r="F16" i="76"/>
  <c r="G16" i="76" s="1"/>
  <c r="H16" i="76" s="1"/>
  <c r="I16" i="76" s="1"/>
  <c r="J16" i="76" s="1"/>
  <c r="K16" i="76" s="1"/>
  <c r="L16" i="76" s="1"/>
  <c r="M16" i="76" s="1"/>
  <c r="N16" i="76" s="1"/>
  <c r="O16" i="76" s="1"/>
  <c r="P16" i="76" s="1"/>
  <c r="Q16" i="76" s="1"/>
  <c r="R16" i="76" s="1"/>
  <c r="S16" i="76" s="1"/>
  <c r="T16" i="76" s="1"/>
  <c r="U16" i="76" s="1"/>
  <c r="V16" i="76" s="1"/>
  <c r="W16" i="76" s="1"/>
  <c r="X16" i="76" s="1"/>
  <c r="Y16" i="76" s="1"/>
  <c r="Z16" i="76" s="1"/>
  <c r="AA16" i="76" s="1"/>
  <c r="AB16" i="76" s="1"/>
  <c r="E16" i="76"/>
  <c r="D8" i="76"/>
  <c r="D11" i="76" s="1"/>
  <c r="H19" i="76" s="1"/>
  <c r="C8" i="76"/>
  <c r="C11" i="76" s="1"/>
  <c r="H18" i="76" s="1"/>
  <c r="H19" i="74"/>
  <c r="F16" i="74"/>
  <c r="G16" i="74" s="1"/>
  <c r="H16" i="74" s="1"/>
  <c r="I16" i="74" s="1"/>
  <c r="J16" i="74" s="1"/>
  <c r="K16" i="74" s="1"/>
  <c r="L16" i="74" s="1"/>
  <c r="M16" i="74" s="1"/>
  <c r="N16" i="74" s="1"/>
  <c r="O16" i="74" s="1"/>
  <c r="P16" i="74" s="1"/>
  <c r="Q16" i="74" s="1"/>
  <c r="R16" i="74" s="1"/>
  <c r="S16" i="74" s="1"/>
  <c r="T16" i="74" s="1"/>
  <c r="U16" i="74" s="1"/>
  <c r="V16" i="74" s="1"/>
  <c r="W16" i="74" s="1"/>
  <c r="X16" i="74" s="1"/>
  <c r="Y16" i="74" s="1"/>
  <c r="Z16" i="74" s="1"/>
  <c r="AA16" i="74" s="1"/>
  <c r="AB16" i="74" s="1"/>
  <c r="E16" i="74"/>
  <c r="D11" i="74"/>
  <c r="C11" i="74"/>
  <c r="H18" i="74" s="1"/>
  <c r="D8" i="74"/>
  <c r="C8" i="74"/>
  <c r="E8" i="74" s="1"/>
  <c r="E16" i="73"/>
  <c r="F16" i="73" s="1"/>
  <c r="G16" i="73" s="1"/>
  <c r="H16" i="73" s="1"/>
  <c r="I16" i="73" s="1"/>
  <c r="J16" i="73" s="1"/>
  <c r="K16" i="73" s="1"/>
  <c r="L16" i="73" s="1"/>
  <c r="M16" i="73" s="1"/>
  <c r="N16" i="73" s="1"/>
  <c r="O16" i="73" s="1"/>
  <c r="P16" i="73" s="1"/>
  <c r="Q16" i="73" s="1"/>
  <c r="R16" i="73" s="1"/>
  <c r="S16" i="73" s="1"/>
  <c r="T16" i="73" s="1"/>
  <c r="U16" i="73" s="1"/>
  <c r="V16" i="73" s="1"/>
  <c r="W16" i="73" s="1"/>
  <c r="X16" i="73" s="1"/>
  <c r="Y16" i="73" s="1"/>
  <c r="Z16" i="73" s="1"/>
  <c r="AA16" i="73" s="1"/>
  <c r="AB16" i="73" s="1"/>
  <c r="D8" i="73"/>
  <c r="D11" i="73" s="1"/>
  <c r="H19" i="73" s="1"/>
  <c r="C8" i="73"/>
  <c r="C11" i="73" s="1"/>
  <c r="H18" i="73" s="1"/>
  <c r="G49" i="50"/>
  <c r="G48" i="50"/>
  <c r="G47" i="50"/>
  <c r="G46" i="50"/>
  <c r="G45" i="50"/>
  <c r="G43" i="50"/>
  <c r="F43" i="50"/>
  <c r="E43" i="50"/>
  <c r="G39" i="50"/>
  <c r="G42" i="50"/>
  <c r="G41" i="50"/>
  <c r="G40" i="50"/>
  <c r="E16" i="72"/>
  <c r="F16" i="72" s="1"/>
  <c r="G16" i="72" s="1"/>
  <c r="H16" i="72" s="1"/>
  <c r="I16" i="72" s="1"/>
  <c r="J16" i="72" s="1"/>
  <c r="K16" i="72" s="1"/>
  <c r="L16" i="72" s="1"/>
  <c r="M16" i="72" s="1"/>
  <c r="N16" i="72" s="1"/>
  <c r="O16" i="72" s="1"/>
  <c r="P16" i="72" s="1"/>
  <c r="Q16" i="72" s="1"/>
  <c r="R16" i="72" s="1"/>
  <c r="S16" i="72" s="1"/>
  <c r="T16" i="72" s="1"/>
  <c r="U16" i="72" s="1"/>
  <c r="V16" i="72" s="1"/>
  <c r="W16" i="72" s="1"/>
  <c r="X16" i="72" s="1"/>
  <c r="Y16" i="72" s="1"/>
  <c r="Z16" i="72" s="1"/>
  <c r="AA16" i="72" s="1"/>
  <c r="AB16" i="72" s="1"/>
  <c r="D11" i="72"/>
  <c r="G19" i="72" s="1"/>
  <c r="C11" i="72"/>
  <c r="G18" i="72" s="1"/>
  <c r="D8" i="72"/>
  <c r="C8" i="72"/>
  <c r="G19" i="71"/>
  <c r="G18" i="71"/>
  <c r="K16" i="71"/>
  <c r="L16" i="71" s="1"/>
  <c r="M16" i="71" s="1"/>
  <c r="N16" i="71" s="1"/>
  <c r="O16" i="71" s="1"/>
  <c r="F16" i="71"/>
  <c r="G16" i="71" s="1"/>
  <c r="H16" i="71" s="1"/>
  <c r="I16" i="71" s="1"/>
  <c r="J16" i="71" s="1"/>
  <c r="E16" i="71"/>
  <c r="D11" i="71"/>
  <c r="C11" i="71"/>
  <c r="E8" i="71"/>
  <c r="E11" i="71" s="1"/>
  <c r="D8" i="71"/>
  <c r="C8" i="71"/>
  <c r="E16" i="70"/>
  <c r="F16" i="70" s="1"/>
  <c r="G16" i="70" s="1"/>
  <c r="H16" i="70" s="1"/>
  <c r="I16" i="70" s="1"/>
  <c r="J16" i="70" s="1"/>
  <c r="K16" i="70" s="1"/>
  <c r="L16" i="70" s="1"/>
  <c r="M16" i="70" s="1"/>
  <c r="N16" i="70" s="1"/>
  <c r="O16" i="70" s="1"/>
  <c r="P16" i="70" s="1"/>
  <c r="Q16" i="70" s="1"/>
  <c r="R16" i="70" s="1"/>
  <c r="S16" i="70" s="1"/>
  <c r="T16" i="70" s="1"/>
  <c r="U16" i="70" s="1"/>
  <c r="V16" i="70" s="1"/>
  <c r="W16" i="70" s="1"/>
  <c r="X16" i="70" s="1"/>
  <c r="Y16" i="70" s="1"/>
  <c r="Z16" i="70" s="1"/>
  <c r="AA16" i="70" s="1"/>
  <c r="AB16" i="70" s="1"/>
  <c r="D8" i="70"/>
  <c r="D11" i="70" s="1"/>
  <c r="G19" i="70" s="1"/>
  <c r="C8" i="70"/>
  <c r="C11" i="70" s="1"/>
  <c r="G18" i="70" s="1"/>
  <c r="F49" i="50"/>
  <c r="F48" i="50"/>
  <c r="F47" i="50"/>
  <c r="F46" i="50"/>
  <c r="F45" i="50"/>
  <c r="F42" i="50"/>
  <c r="F41" i="50"/>
  <c r="F40" i="50"/>
  <c r="F19" i="69"/>
  <c r="F18" i="69"/>
  <c r="F16" i="69"/>
  <c r="G16" i="69" s="1"/>
  <c r="H16" i="69" s="1"/>
  <c r="I16" i="69" s="1"/>
  <c r="J16" i="69" s="1"/>
  <c r="K16" i="69" s="1"/>
  <c r="L16" i="69" s="1"/>
  <c r="M16" i="69" s="1"/>
  <c r="N16" i="69" s="1"/>
  <c r="O16" i="69" s="1"/>
  <c r="E16" i="69"/>
  <c r="D11" i="69"/>
  <c r="C11" i="69"/>
  <c r="E8" i="69"/>
  <c r="E11" i="69" s="1"/>
  <c r="D8" i="69"/>
  <c r="C8" i="69"/>
  <c r="E16" i="68"/>
  <c r="F16" i="68" s="1"/>
  <c r="G16" i="68" s="1"/>
  <c r="H16" i="68" s="1"/>
  <c r="I16" i="68" s="1"/>
  <c r="J16" i="68" s="1"/>
  <c r="K16" i="68" s="1"/>
  <c r="L16" i="68" s="1"/>
  <c r="M16" i="68" s="1"/>
  <c r="N16" i="68" s="1"/>
  <c r="O16" i="68" s="1"/>
  <c r="P16" i="68" s="1"/>
  <c r="Q16" i="68" s="1"/>
  <c r="R16" i="68" s="1"/>
  <c r="S16" i="68" s="1"/>
  <c r="T16" i="68" s="1"/>
  <c r="U16" i="68" s="1"/>
  <c r="D8" i="68"/>
  <c r="D11" i="68" s="1"/>
  <c r="F19" i="68" s="1"/>
  <c r="C8" i="68"/>
  <c r="C11" i="68" s="1"/>
  <c r="F18" i="68" s="1"/>
  <c r="E16" i="67"/>
  <c r="F16" i="67" s="1"/>
  <c r="G16" i="67" s="1"/>
  <c r="H16" i="67" s="1"/>
  <c r="I16" i="67" s="1"/>
  <c r="J16" i="67" s="1"/>
  <c r="K16" i="67" s="1"/>
  <c r="L16" i="67" s="1"/>
  <c r="M16" i="67" s="1"/>
  <c r="N16" i="67" s="1"/>
  <c r="O16" i="67" s="1"/>
  <c r="P16" i="67" s="1"/>
  <c r="Q16" i="67" s="1"/>
  <c r="R16" i="67" s="1"/>
  <c r="S16" i="67" s="1"/>
  <c r="T16" i="67" s="1"/>
  <c r="U16" i="67" s="1"/>
  <c r="V16" i="67" s="1"/>
  <c r="W16" i="67" s="1"/>
  <c r="X16" i="67" s="1"/>
  <c r="Y16" i="67" s="1"/>
  <c r="Z16" i="67" s="1"/>
  <c r="AA16" i="67" s="1"/>
  <c r="AB16" i="67" s="1"/>
  <c r="D8" i="67"/>
  <c r="D11" i="67" s="1"/>
  <c r="F19" i="67" s="1"/>
  <c r="C8" i="67"/>
  <c r="C11" i="67" s="1"/>
  <c r="F18" i="67" s="1"/>
  <c r="E49" i="50"/>
  <c r="E48" i="50"/>
  <c r="E47" i="50"/>
  <c r="E46" i="50"/>
  <c r="E45" i="50"/>
  <c r="E42" i="50"/>
  <c r="E41" i="50"/>
  <c r="E40" i="50"/>
  <c r="E16" i="66"/>
  <c r="F16" i="66" s="1"/>
  <c r="G16" i="66" s="1"/>
  <c r="H16" i="66" s="1"/>
  <c r="I16" i="66" s="1"/>
  <c r="J16" i="66" s="1"/>
  <c r="K16" i="66" s="1"/>
  <c r="L16" i="66" s="1"/>
  <c r="M16" i="66" s="1"/>
  <c r="N16" i="66" s="1"/>
  <c r="O16" i="66" s="1"/>
  <c r="P16" i="66" s="1"/>
  <c r="Q16" i="66" s="1"/>
  <c r="R16" i="66" s="1"/>
  <c r="S16" i="66" s="1"/>
  <c r="T16" i="66" s="1"/>
  <c r="U16" i="66" s="1"/>
  <c r="V16" i="66" s="1"/>
  <c r="W16" i="66" s="1"/>
  <c r="X16" i="66" s="1"/>
  <c r="Y16" i="66" s="1"/>
  <c r="Z16" i="66" s="1"/>
  <c r="AA16" i="66" s="1"/>
  <c r="AB16" i="66" s="1"/>
  <c r="D8" i="66"/>
  <c r="D11" i="66" s="1"/>
  <c r="E19" i="66" s="1"/>
  <c r="C8" i="66"/>
  <c r="C11" i="66" s="1"/>
  <c r="E18" i="66" s="1"/>
  <c r="E19" i="65"/>
  <c r="E18" i="65"/>
  <c r="E16" i="65"/>
  <c r="F16" i="65" s="1"/>
  <c r="G16" i="65" s="1"/>
  <c r="H16" i="65" s="1"/>
  <c r="I16" i="65" s="1"/>
  <c r="D11" i="65"/>
  <c r="C11" i="65"/>
  <c r="E8" i="65"/>
  <c r="F8" i="65" s="1"/>
  <c r="D8" i="65"/>
  <c r="C8" i="65"/>
  <c r="E16" i="64"/>
  <c r="F16" i="64" s="1"/>
  <c r="G16" i="64" s="1"/>
  <c r="H16" i="64" s="1"/>
  <c r="I16" i="64" s="1"/>
  <c r="J16" i="64" s="1"/>
  <c r="K16" i="64" s="1"/>
  <c r="L16" i="64" s="1"/>
  <c r="M16" i="64" s="1"/>
  <c r="N16" i="64" s="1"/>
  <c r="O16" i="64" s="1"/>
  <c r="P16" i="64" s="1"/>
  <c r="Q16" i="64" s="1"/>
  <c r="R16" i="64" s="1"/>
  <c r="S16" i="64" s="1"/>
  <c r="T16" i="64" s="1"/>
  <c r="U16" i="64" s="1"/>
  <c r="V16" i="64" s="1"/>
  <c r="W16" i="64" s="1"/>
  <c r="X16" i="64" s="1"/>
  <c r="Y16" i="64" s="1"/>
  <c r="Z16" i="64" s="1"/>
  <c r="AA16" i="64" s="1"/>
  <c r="AB16" i="64" s="1"/>
  <c r="D8" i="64"/>
  <c r="D11" i="64" s="1"/>
  <c r="E19" i="64" s="1"/>
  <c r="C8" i="64"/>
  <c r="C11" i="64" s="1"/>
  <c r="E18" i="64" s="1"/>
  <c r="D11" i="14"/>
  <c r="L17" i="14"/>
  <c r="L16" i="14"/>
  <c r="K16" i="14"/>
  <c r="D16" i="14"/>
  <c r="D15" i="14"/>
  <c r="D46" i="50"/>
  <c r="D45" i="50"/>
  <c r="D8" i="62"/>
  <c r="C8" i="62"/>
  <c r="D8" i="61"/>
  <c r="D11" i="61" s="1"/>
  <c r="D19" i="61" s="1"/>
  <c r="C8" i="61"/>
  <c r="D8" i="60"/>
  <c r="E8" i="60" s="1"/>
  <c r="C8" i="60"/>
  <c r="C35" i="14"/>
  <c r="C36" i="14"/>
  <c r="L18" i="14"/>
  <c r="K18" i="14"/>
  <c r="K17" i="14"/>
  <c r="G16" i="14"/>
  <c r="D48" i="50" s="1"/>
  <c r="G17" i="14"/>
  <c r="D47" i="50" s="1"/>
  <c r="D4" i="14"/>
  <c r="C4" i="14"/>
  <c r="D3" i="14"/>
  <c r="D49" i="50"/>
  <c r="H21" i="14"/>
  <c r="D11" i="62"/>
  <c r="D19" i="62" s="1"/>
  <c r="C11" i="62"/>
  <c r="D18" i="62" s="1"/>
  <c r="E16" i="62"/>
  <c r="F16" i="62" s="1"/>
  <c r="G16" i="62" s="1"/>
  <c r="H16" i="62" s="1"/>
  <c r="I16" i="62" s="1"/>
  <c r="J16" i="62" s="1"/>
  <c r="K16" i="62" s="1"/>
  <c r="L16" i="62" s="1"/>
  <c r="M16" i="62" s="1"/>
  <c r="N16" i="62" s="1"/>
  <c r="O16" i="62" s="1"/>
  <c r="P16" i="62" s="1"/>
  <c r="Q16" i="62" s="1"/>
  <c r="R16" i="62" s="1"/>
  <c r="S16" i="62" s="1"/>
  <c r="T16" i="62" s="1"/>
  <c r="U16" i="62" s="1"/>
  <c r="V16" i="62" s="1"/>
  <c r="W16" i="62" s="1"/>
  <c r="X16" i="62" s="1"/>
  <c r="Y16" i="62" s="1"/>
  <c r="Z16" i="62" s="1"/>
  <c r="AA16" i="62" s="1"/>
  <c r="AB16" i="62" s="1"/>
  <c r="C11" i="61"/>
  <c r="D18" i="61" s="1"/>
  <c r="E16" i="61"/>
  <c r="F16" i="61" s="1"/>
  <c r="G16" i="61" s="1"/>
  <c r="H16" i="61" s="1"/>
  <c r="I16" i="61" s="1"/>
  <c r="C11" i="60"/>
  <c r="D18" i="60" s="1"/>
  <c r="E5" i="59"/>
  <c r="C11" i="59"/>
  <c r="C10" i="59"/>
  <c r="AB44" i="50"/>
  <c r="AA44" i="50"/>
  <c r="Z44" i="50"/>
  <c r="Y44" i="50"/>
  <c r="X44" i="50"/>
  <c r="W44" i="50"/>
  <c r="V44" i="50"/>
  <c r="U44" i="50"/>
  <c r="T44" i="50"/>
  <c r="S44" i="50"/>
  <c r="R44" i="50"/>
  <c r="Q44" i="50"/>
  <c r="P44" i="50"/>
  <c r="O44" i="50"/>
  <c r="N44" i="50"/>
  <c r="M44" i="50"/>
  <c r="L44" i="50"/>
  <c r="K44" i="50"/>
  <c r="J44" i="50"/>
  <c r="I44" i="50"/>
  <c r="H44" i="50"/>
  <c r="G44" i="50"/>
  <c r="F44" i="50"/>
  <c r="E44" i="50"/>
  <c r="D44" i="50"/>
  <c r="E16" i="60"/>
  <c r="F16" i="60" s="1"/>
  <c r="G16" i="60" s="1"/>
  <c r="H16" i="60" s="1"/>
  <c r="I16" i="60" s="1"/>
  <c r="J16" i="60" s="1"/>
  <c r="K16" i="60" s="1"/>
  <c r="L16" i="60" s="1"/>
  <c r="M16" i="60" s="1"/>
  <c r="N16" i="60" s="1"/>
  <c r="O16" i="60" s="1"/>
  <c r="P16" i="60" s="1"/>
  <c r="Q16" i="60" s="1"/>
  <c r="R16" i="60" s="1"/>
  <c r="S16" i="60" s="1"/>
  <c r="T16" i="60" s="1"/>
  <c r="U16" i="60" s="1"/>
  <c r="V16" i="60" s="1"/>
  <c r="W16" i="60" s="1"/>
  <c r="X16" i="60" s="1"/>
  <c r="Y16" i="60" s="1"/>
  <c r="Z16" i="60" s="1"/>
  <c r="AA16" i="60" s="1"/>
  <c r="AB16" i="60" s="1"/>
  <c r="D70" i="50"/>
  <c r="AC18" i="76" l="1"/>
  <c r="W18" i="76"/>
  <c r="Q18" i="76"/>
  <c r="K18" i="76"/>
  <c r="U18" i="76"/>
  <c r="I18" i="76"/>
  <c r="R18" i="76"/>
  <c r="AB18" i="76"/>
  <c r="V18" i="76"/>
  <c r="P18" i="76"/>
  <c r="J18" i="76"/>
  <c r="AA18" i="76"/>
  <c r="O18" i="76"/>
  <c r="AD18" i="76"/>
  <c r="AF18" i="76"/>
  <c r="Z18" i="76"/>
  <c r="T18" i="76"/>
  <c r="N18" i="76"/>
  <c r="S18" i="76"/>
  <c r="X18" i="76"/>
  <c r="L18" i="76"/>
  <c r="AE18" i="76"/>
  <c r="Y18" i="76"/>
  <c r="M18" i="76"/>
  <c r="AB19" i="76"/>
  <c r="V19" i="76"/>
  <c r="P19" i="76"/>
  <c r="J19" i="76"/>
  <c r="Z19" i="76"/>
  <c r="W19" i="76"/>
  <c r="AA19" i="76"/>
  <c r="U19" i="76"/>
  <c r="O19" i="76"/>
  <c r="I19" i="76"/>
  <c r="AF19" i="76"/>
  <c r="N19" i="76"/>
  <c r="T19" i="76"/>
  <c r="AE19" i="76"/>
  <c r="Y19" i="76"/>
  <c r="S19" i="76"/>
  <c r="M19" i="76"/>
  <c r="AC19" i="76"/>
  <c r="K19" i="76"/>
  <c r="AD19" i="76"/>
  <c r="X19" i="76"/>
  <c r="R19" i="76"/>
  <c r="L19" i="76"/>
  <c r="Q19" i="76"/>
  <c r="E8" i="76"/>
  <c r="E11" i="76" s="1"/>
  <c r="F8" i="76"/>
  <c r="AE19" i="74"/>
  <c r="F8" i="74"/>
  <c r="E11" i="74"/>
  <c r="Z18" i="74"/>
  <c r="T18" i="74"/>
  <c r="N18" i="74"/>
  <c r="X18" i="74"/>
  <c r="AC18" i="74"/>
  <c r="Q18" i="74"/>
  <c r="V18" i="74"/>
  <c r="J18" i="74"/>
  <c r="I18" i="74"/>
  <c r="AE18" i="74"/>
  <c r="Y18" i="74"/>
  <c r="S18" i="74"/>
  <c r="M18" i="74"/>
  <c r="AD18" i="74"/>
  <c r="R18" i="74"/>
  <c r="L18" i="74"/>
  <c r="W18" i="74"/>
  <c r="K18" i="74"/>
  <c r="AB18" i="74"/>
  <c r="P18" i="74"/>
  <c r="AA18" i="74"/>
  <c r="U18" i="74"/>
  <c r="O18" i="74"/>
  <c r="N19" i="74"/>
  <c r="O19" i="74"/>
  <c r="AA19" i="74"/>
  <c r="J19" i="74"/>
  <c r="V19" i="74"/>
  <c r="Q19" i="74"/>
  <c r="AC19" i="74"/>
  <c r="L19" i="74"/>
  <c r="R19" i="74"/>
  <c r="X19" i="74"/>
  <c r="AD19" i="74"/>
  <c r="T19" i="74"/>
  <c r="Z19" i="74"/>
  <c r="I19" i="74"/>
  <c r="U19" i="74"/>
  <c r="P19" i="74"/>
  <c r="AB19" i="74"/>
  <c r="K19" i="74"/>
  <c r="W19" i="74"/>
  <c r="M19" i="74"/>
  <c r="S19" i="74"/>
  <c r="Y19" i="74"/>
  <c r="AD18" i="73"/>
  <c r="AC18" i="73"/>
  <c r="K18" i="73"/>
  <c r="AB18" i="73"/>
  <c r="V18" i="73"/>
  <c r="P18" i="73"/>
  <c r="J18" i="73"/>
  <c r="T18" i="73"/>
  <c r="Y18" i="73"/>
  <c r="M18" i="73"/>
  <c r="R18" i="73"/>
  <c r="W18" i="73"/>
  <c r="AA18" i="73"/>
  <c r="U18" i="73"/>
  <c r="O18" i="73"/>
  <c r="I18" i="73"/>
  <c r="Z18" i="73"/>
  <c r="N18" i="73"/>
  <c r="AE18" i="73"/>
  <c r="S18" i="73"/>
  <c r="X18" i="73"/>
  <c r="L18" i="73"/>
  <c r="Q18" i="73"/>
  <c r="AC19" i="73"/>
  <c r="W19" i="73"/>
  <c r="Q19" i="73"/>
  <c r="K19" i="73"/>
  <c r="AB19" i="73"/>
  <c r="V19" i="73"/>
  <c r="P19" i="73"/>
  <c r="J19" i="73"/>
  <c r="Z19" i="73"/>
  <c r="T19" i="73"/>
  <c r="AE19" i="73"/>
  <c r="M19" i="73"/>
  <c r="AD19" i="73"/>
  <c r="R19" i="73"/>
  <c r="AA19" i="73"/>
  <c r="U19" i="73"/>
  <c r="O19" i="73"/>
  <c r="I19" i="73"/>
  <c r="N19" i="73"/>
  <c r="Y19" i="73"/>
  <c r="S19" i="73"/>
  <c r="X19" i="73"/>
  <c r="L19" i="73"/>
  <c r="E8" i="73"/>
  <c r="E11" i="73" s="1"/>
  <c r="F8" i="72"/>
  <c r="O19" i="72"/>
  <c r="N19" i="72"/>
  <c r="AE19" i="72"/>
  <c r="Y19" i="72"/>
  <c r="S19" i="72"/>
  <c r="M19" i="72"/>
  <c r="W19" i="72"/>
  <c r="V19" i="72"/>
  <c r="J19" i="72"/>
  <c r="U19" i="72"/>
  <c r="T19" i="72"/>
  <c r="AD19" i="72"/>
  <c r="X19" i="72"/>
  <c r="R19" i="72"/>
  <c r="L19" i="72"/>
  <c r="AC19" i="72"/>
  <c r="Q19" i="72"/>
  <c r="K19" i="72"/>
  <c r="AB19" i="72"/>
  <c r="P19" i="72"/>
  <c r="AA19" i="72"/>
  <c r="I19" i="72"/>
  <c r="Z19" i="72"/>
  <c r="H19" i="72"/>
  <c r="V18" i="72"/>
  <c r="O18" i="72"/>
  <c r="Z18" i="72"/>
  <c r="T18" i="72"/>
  <c r="N18" i="72"/>
  <c r="H18" i="72"/>
  <c r="AD18" i="72"/>
  <c r="R18" i="72"/>
  <c r="W18" i="72"/>
  <c r="K18" i="72"/>
  <c r="AB18" i="72"/>
  <c r="J18" i="72"/>
  <c r="AA18" i="72"/>
  <c r="I18" i="72"/>
  <c r="AE18" i="72"/>
  <c r="Y18" i="72"/>
  <c r="S18" i="72"/>
  <c r="M18" i="72"/>
  <c r="X18" i="72"/>
  <c r="L18" i="72"/>
  <c r="AC18" i="72"/>
  <c r="Q18" i="72"/>
  <c r="P18" i="72"/>
  <c r="U18" i="72"/>
  <c r="E8" i="72"/>
  <c r="E11" i="72" s="1"/>
  <c r="P16" i="71"/>
  <c r="R19" i="71"/>
  <c r="R18" i="71"/>
  <c r="L18" i="71"/>
  <c r="Q18" i="71"/>
  <c r="K18" i="71"/>
  <c r="P18" i="71"/>
  <c r="J18" i="71"/>
  <c r="O18" i="71"/>
  <c r="I18" i="71"/>
  <c r="F8" i="71"/>
  <c r="N18" i="71"/>
  <c r="Q19" i="71"/>
  <c r="K19" i="71"/>
  <c r="P19" i="71"/>
  <c r="J19" i="71"/>
  <c r="O19" i="71"/>
  <c r="I19" i="71"/>
  <c r="N19" i="71"/>
  <c r="H19" i="71"/>
  <c r="S18" i="71"/>
  <c r="L19" i="71"/>
  <c r="F11" i="71"/>
  <c r="G20" i="71"/>
  <c r="H18" i="71"/>
  <c r="M18" i="71"/>
  <c r="M19" i="71"/>
  <c r="AD19" i="70"/>
  <c r="X19" i="70"/>
  <c r="R19" i="70"/>
  <c r="L19" i="70"/>
  <c r="K19" i="70"/>
  <c r="P19" i="70"/>
  <c r="AA19" i="70"/>
  <c r="U19" i="70"/>
  <c r="O19" i="70"/>
  <c r="I19" i="70"/>
  <c r="V19" i="70"/>
  <c r="Z19" i="70"/>
  <c r="T19" i="70"/>
  <c r="N19" i="70"/>
  <c r="H19" i="70"/>
  <c r="Y19" i="70"/>
  <c r="S19" i="70"/>
  <c r="M19" i="70"/>
  <c r="AC19" i="70"/>
  <c r="W19" i="70"/>
  <c r="Q19" i="70"/>
  <c r="AB19" i="70"/>
  <c r="J19" i="70"/>
  <c r="AD18" i="70"/>
  <c r="X18" i="70"/>
  <c r="R18" i="70"/>
  <c r="L18" i="70"/>
  <c r="W18" i="70"/>
  <c r="K18" i="70"/>
  <c r="AB18" i="70"/>
  <c r="V18" i="70"/>
  <c r="AA18" i="70"/>
  <c r="U18" i="70"/>
  <c r="O18" i="70"/>
  <c r="I18" i="70"/>
  <c r="P18" i="70"/>
  <c r="Z18" i="70"/>
  <c r="T18" i="70"/>
  <c r="N18" i="70"/>
  <c r="H18" i="70"/>
  <c r="Y18" i="70"/>
  <c r="S18" i="70"/>
  <c r="M18" i="70"/>
  <c r="AC18" i="70"/>
  <c r="Q18" i="70"/>
  <c r="J18" i="70"/>
  <c r="E8" i="70"/>
  <c r="E11" i="70" s="1"/>
  <c r="F8" i="70"/>
  <c r="E8" i="68"/>
  <c r="E11" i="68" s="1"/>
  <c r="P16" i="69"/>
  <c r="Q19" i="69"/>
  <c r="L19" i="69"/>
  <c r="F11" i="69"/>
  <c r="F20" i="69"/>
  <c r="F21" i="69" s="1"/>
  <c r="Q18" i="69"/>
  <c r="K18" i="69"/>
  <c r="P18" i="69"/>
  <c r="J18" i="69"/>
  <c r="O18" i="69"/>
  <c r="I18" i="69"/>
  <c r="N18" i="69"/>
  <c r="H18" i="69"/>
  <c r="F8" i="69"/>
  <c r="G18" i="69"/>
  <c r="L18" i="69"/>
  <c r="M18" i="69"/>
  <c r="P19" i="69"/>
  <c r="J19" i="69"/>
  <c r="O19" i="69"/>
  <c r="I19" i="69"/>
  <c r="N19" i="69"/>
  <c r="H19" i="69"/>
  <c r="M19" i="69"/>
  <c r="G19" i="69"/>
  <c r="K19" i="69"/>
  <c r="V16" i="68"/>
  <c r="W19" i="68"/>
  <c r="F11" i="68"/>
  <c r="F20" i="68"/>
  <c r="W18" i="68"/>
  <c r="Q18" i="68"/>
  <c r="K18" i="68"/>
  <c r="V18" i="68"/>
  <c r="P18" i="68"/>
  <c r="J18" i="68"/>
  <c r="U18" i="68"/>
  <c r="O18" i="68"/>
  <c r="I18" i="68"/>
  <c r="T18" i="68"/>
  <c r="N18" i="68"/>
  <c r="H18" i="68"/>
  <c r="X18" i="68"/>
  <c r="F8" i="68"/>
  <c r="G18" i="68"/>
  <c r="L18" i="68"/>
  <c r="M18" i="68"/>
  <c r="R19" i="68"/>
  <c r="L19" i="68"/>
  <c r="V19" i="68"/>
  <c r="P19" i="68"/>
  <c r="J19" i="68"/>
  <c r="U19" i="68"/>
  <c r="O19" i="68"/>
  <c r="I19" i="68"/>
  <c r="T19" i="68"/>
  <c r="N19" i="68"/>
  <c r="H19" i="68"/>
  <c r="S19" i="68"/>
  <c r="M19" i="68"/>
  <c r="G19" i="68"/>
  <c r="R18" i="68"/>
  <c r="K19" i="68"/>
  <c r="S18" i="68"/>
  <c r="Q19" i="68"/>
  <c r="Z18" i="67"/>
  <c r="T18" i="67"/>
  <c r="N18" i="67"/>
  <c r="H18" i="67"/>
  <c r="X18" i="67"/>
  <c r="R18" i="67"/>
  <c r="Y18" i="67"/>
  <c r="S18" i="67"/>
  <c r="M18" i="67"/>
  <c r="G18" i="67"/>
  <c r="L18" i="67"/>
  <c r="U18" i="67"/>
  <c r="I18" i="67"/>
  <c r="AC18" i="67"/>
  <c r="W18" i="67"/>
  <c r="Q18" i="67"/>
  <c r="K18" i="67"/>
  <c r="AB18" i="67"/>
  <c r="V18" i="67"/>
  <c r="P18" i="67"/>
  <c r="J18" i="67"/>
  <c r="AA18" i="67"/>
  <c r="O18" i="67"/>
  <c r="Y19" i="67"/>
  <c r="S19" i="67"/>
  <c r="M19" i="67"/>
  <c r="G19" i="67"/>
  <c r="W19" i="67"/>
  <c r="Q19" i="67"/>
  <c r="K19" i="67"/>
  <c r="H19" i="67"/>
  <c r="X19" i="67"/>
  <c r="R19" i="67"/>
  <c r="L19" i="67"/>
  <c r="AC19" i="67"/>
  <c r="Z19" i="67"/>
  <c r="N19" i="67"/>
  <c r="AB19" i="67"/>
  <c r="V19" i="67"/>
  <c r="P19" i="67"/>
  <c r="J19" i="67"/>
  <c r="AA19" i="67"/>
  <c r="U19" i="67"/>
  <c r="O19" i="67"/>
  <c r="I19" i="67"/>
  <c r="T19" i="67"/>
  <c r="E8" i="67"/>
  <c r="E11" i="67" s="1"/>
  <c r="AC18" i="66"/>
  <c r="W18" i="66"/>
  <c r="Q18" i="66"/>
  <c r="K18" i="66"/>
  <c r="R18" i="66"/>
  <c r="AB18" i="66"/>
  <c r="V18" i="66"/>
  <c r="P18" i="66"/>
  <c r="J18" i="66"/>
  <c r="Y18" i="66"/>
  <c r="G18" i="66"/>
  <c r="F18" i="66"/>
  <c r="AA18" i="66"/>
  <c r="U18" i="66"/>
  <c r="O18" i="66"/>
  <c r="I18" i="66"/>
  <c r="S18" i="66"/>
  <c r="X18" i="66"/>
  <c r="L18" i="66"/>
  <c r="Z18" i="66"/>
  <c r="T18" i="66"/>
  <c r="N18" i="66"/>
  <c r="H18" i="66"/>
  <c r="M18" i="66"/>
  <c r="AC19" i="66"/>
  <c r="W19" i="66"/>
  <c r="Q19" i="66"/>
  <c r="K19" i="66"/>
  <c r="R19" i="66"/>
  <c r="AB19" i="66"/>
  <c r="V19" i="66"/>
  <c r="P19" i="66"/>
  <c r="J19" i="66"/>
  <c r="S19" i="66"/>
  <c r="M19" i="66"/>
  <c r="X19" i="66"/>
  <c r="AA19" i="66"/>
  <c r="U19" i="66"/>
  <c r="O19" i="66"/>
  <c r="I19" i="66"/>
  <c r="Y19" i="66"/>
  <c r="Z19" i="66"/>
  <c r="T19" i="66"/>
  <c r="N19" i="66"/>
  <c r="H19" i="66"/>
  <c r="L19" i="66"/>
  <c r="G19" i="66"/>
  <c r="F19" i="66"/>
  <c r="E8" i="66"/>
  <c r="E11" i="66" s="1"/>
  <c r="J19" i="65"/>
  <c r="J16" i="65"/>
  <c r="K16" i="65" s="1"/>
  <c r="L16" i="65" s="1"/>
  <c r="M16" i="65" s="1"/>
  <c r="N16" i="65" s="1"/>
  <c r="O16" i="65" s="1"/>
  <c r="M19" i="65"/>
  <c r="G18" i="65"/>
  <c r="F19" i="65"/>
  <c r="H18" i="65"/>
  <c r="N18" i="65"/>
  <c r="G19" i="65"/>
  <c r="E11" i="65"/>
  <c r="I18" i="65"/>
  <c r="O18" i="65"/>
  <c r="H19" i="65"/>
  <c r="N19" i="65"/>
  <c r="J18" i="65"/>
  <c r="I19" i="65"/>
  <c r="O19" i="65"/>
  <c r="F18" i="65"/>
  <c r="L18" i="65"/>
  <c r="M18" i="65"/>
  <c r="Y19" i="64"/>
  <c r="S19" i="64"/>
  <c r="M19" i="64"/>
  <c r="G19" i="64"/>
  <c r="V19" i="64"/>
  <c r="J19" i="64"/>
  <c r="X19" i="64"/>
  <c r="R19" i="64"/>
  <c r="L19" i="64"/>
  <c r="F19" i="64"/>
  <c r="AB19" i="64"/>
  <c r="P19" i="64"/>
  <c r="AC19" i="64"/>
  <c r="W19" i="64"/>
  <c r="Q19" i="64"/>
  <c r="K19" i="64"/>
  <c r="AA19" i="64"/>
  <c r="U19" i="64"/>
  <c r="O19" i="64"/>
  <c r="I19" i="64"/>
  <c r="Z19" i="64"/>
  <c r="T19" i="64"/>
  <c r="N19" i="64"/>
  <c r="H19" i="64"/>
  <c r="Z18" i="64"/>
  <c r="T18" i="64"/>
  <c r="N18" i="64"/>
  <c r="H18" i="64"/>
  <c r="W18" i="64"/>
  <c r="K18" i="64"/>
  <c r="Y18" i="64"/>
  <c r="S18" i="64"/>
  <c r="M18" i="64"/>
  <c r="G18" i="64"/>
  <c r="AC18" i="64"/>
  <c r="Q18" i="64"/>
  <c r="X18" i="64"/>
  <c r="R18" i="64"/>
  <c r="L18" i="64"/>
  <c r="F18" i="64"/>
  <c r="AB18" i="64"/>
  <c r="V18" i="64"/>
  <c r="P18" i="64"/>
  <c r="J18" i="64"/>
  <c r="AA18" i="64"/>
  <c r="U18" i="64"/>
  <c r="O18" i="64"/>
  <c r="I18" i="64"/>
  <c r="E8" i="64"/>
  <c r="E11" i="64" s="1"/>
  <c r="E11" i="60"/>
  <c r="D20" i="60" s="1"/>
  <c r="F8" i="60"/>
  <c r="D11" i="60"/>
  <c r="D19" i="60" s="1"/>
  <c r="D41" i="50" s="1"/>
  <c r="L21" i="14"/>
  <c r="D43" i="50" s="1"/>
  <c r="X19" i="62"/>
  <c r="R19" i="62"/>
  <c r="L19" i="62"/>
  <c r="F19" i="62"/>
  <c r="W19" i="62"/>
  <c r="Q19" i="62"/>
  <c r="K19" i="62"/>
  <c r="E19" i="62"/>
  <c r="T19" i="62"/>
  <c r="H19" i="62"/>
  <c r="G19" i="62"/>
  <c r="AB19" i="62"/>
  <c r="V19" i="62"/>
  <c r="P19" i="62"/>
  <c r="J19" i="62"/>
  <c r="Z19" i="62"/>
  <c r="Y19" i="62"/>
  <c r="AA19" i="62"/>
  <c r="U19" i="62"/>
  <c r="O19" i="62"/>
  <c r="I19" i="62"/>
  <c r="N19" i="62"/>
  <c r="S19" i="62"/>
  <c r="M19" i="62"/>
  <c r="Y18" i="62"/>
  <c r="S18" i="62"/>
  <c r="M18" i="62"/>
  <c r="G18" i="62"/>
  <c r="X18" i="62"/>
  <c r="R18" i="62"/>
  <c r="L18" i="62"/>
  <c r="F18" i="62"/>
  <c r="AA18" i="62"/>
  <c r="N18" i="62"/>
  <c r="W18" i="62"/>
  <c r="Q18" i="62"/>
  <c r="K18" i="62"/>
  <c r="E18" i="62"/>
  <c r="U18" i="62"/>
  <c r="I18" i="62"/>
  <c r="H18" i="62"/>
  <c r="AB18" i="62"/>
  <c r="V18" i="62"/>
  <c r="P18" i="62"/>
  <c r="J18" i="62"/>
  <c r="O18" i="62"/>
  <c r="Z18" i="62"/>
  <c r="T18" i="62"/>
  <c r="E8" i="62"/>
  <c r="E11" i="62" s="1"/>
  <c r="E8" i="61"/>
  <c r="E11" i="61" s="1"/>
  <c r="F11" i="61" s="1"/>
  <c r="J16" i="61"/>
  <c r="I19" i="61"/>
  <c r="E18" i="61"/>
  <c r="J18" i="61"/>
  <c r="I18" i="61"/>
  <c r="H18" i="61"/>
  <c r="G18" i="61"/>
  <c r="F18" i="61"/>
  <c r="H19" i="61"/>
  <c r="G19" i="61"/>
  <c r="F19" i="61"/>
  <c r="E19" i="61"/>
  <c r="U20" i="60"/>
  <c r="O20" i="60"/>
  <c r="I20" i="60"/>
  <c r="S20" i="60"/>
  <c r="W20" i="60"/>
  <c r="Q20" i="60"/>
  <c r="K20" i="60"/>
  <c r="E20" i="60"/>
  <c r="J20" i="60"/>
  <c r="Z20" i="60"/>
  <c r="T20" i="60"/>
  <c r="N20" i="60"/>
  <c r="M20" i="60"/>
  <c r="G20" i="60"/>
  <c r="L20" i="60"/>
  <c r="X20" i="60"/>
  <c r="G19" i="60"/>
  <c r="X19" i="60"/>
  <c r="I19" i="60"/>
  <c r="Z19" i="60"/>
  <c r="W19" i="60"/>
  <c r="Q19" i="60"/>
  <c r="K19" i="60"/>
  <c r="E19" i="60"/>
  <c r="AA19" i="60"/>
  <c r="H18" i="60"/>
  <c r="X18" i="60"/>
  <c r="R18" i="60"/>
  <c r="L18" i="60"/>
  <c r="F18" i="60"/>
  <c r="W18" i="60"/>
  <c r="Q18" i="60"/>
  <c r="K18" i="60"/>
  <c r="U18" i="60"/>
  <c r="I18" i="60"/>
  <c r="E18" i="60"/>
  <c r="T18" i="60"/>
  <c r="Y18" i="60"/>
  <c r="S18" i="60"/>
  <c r="M18" i="60"/>
  <c r="G18" i="60"/>
  <c r="AB18" i="60"/>
  <c r="V18" i="60"/>
  <c r="P18" i="60"/>
  <c r="J18" i="60"/>
  <c r="AA18" i="60"/>
  <c r="O18" i="60"/>
  <c r="Z18" i="60"/>
  <c r="N18" i="60"/>
  <c r="H3" i="14"/>
  <c r="H20" i="76" l="1"/>
  <c r="F11" i="76"/>
  <c r="H20" i="74"/>
  <c r="F11" i="74"/>
  <c r="H20" i="73"/>
  <c r="F11" i="73"/>
  <c r="F8" i="73"/>
  <c r="G20" i="72"/>
  <c r="F11" i="72"/>
  <c r="J21" i="71"/>
  <c r="P20" i="71"/>
  <c r="P21" i="71" s="1"/>
  <c r="J20" i="71"/>
  <c r="O20" i="71"/>
  <c r="I20" i="71"/>
  <c r="I21" i="71" s="1"/>
  <c r="T20" i="71"/>
  <c r="N20" i="71"/>
  <c r="N21" i="71" s="1"/>
  <c r="H20" i="71"/>
  <c r="H21" i="71" s="1"/>
  <c r="S20" i="71"/>
  <c r="M20" i="71"/>
  <c r="M21" i="71" s="1"/>
  <c r="L20" i="71"/>
  <c r="K20" i="71"/>
  <c r="K21" i="71" s="1"/>
  <c r="R20" i="71"/>
  <c r="R21" i="71" s="1"/>
  <c r="Q20" i="71"/>
  <c r="Q21" i="71" s="1"/>
  <c r="Q16" i="71"/>
  <c r="S19" i="71"/>
  <c r="S21" i="71" s="1"/>
  <c r="O21" i="71"/>
  <c r="L21" i="71"/>
  <c r="G21" i="71"/>
  <c r="F11" i="70"/>
  <c r="G20" i="70"/>
  <c r="F8" i="67"/>
  <c r="Q16" i="69"/>
  <c r="R19" i="69"/>
  <c r="I21" i="69"/>
  <c r="R18" i="69"/>
  <c r="O20" i="69"/>
  <c r="O21" i="69" s="1"/>
  <c r="I20" i="69"/>
  <c r="N20" i="69"/>
  <c r="N21" i="69" s="1"/>
  <c r="H20" i="69"/>
  <c r="H21" i="69" s="1"/>
  <c r="S20" i="69"/>
  <c r="M20" i="69"/>
  <c r="M21" i="69" s="1"/>
  <c r="G20" i="69"/>
  <c r="G21" i="69" s="1"/>
  <c r="R20" i="69"/>
  <c r="L20" i="69"/>
  <c r="L21" i="69" s="1"/>
  <c r="Q20" i="69"/>
  <c r="Q21" i="69" s="1"/>
  <c r="P20" i="69"/>
  <c r="P21" i="69" s="1"/>
  <c r="K20" i="69"/>
  <c r="K21" i="69" s="1"/>
  <c r="J20" i="69"/>
  <c r="J21" i="69" s="1"/>
  <c r="W20" i="68"/>
  <c r="W21" i="68" s="1"/>
  <c r="Q20" i="68"/>
  <c r="Q21" i="68" s="1"/>
  <c r="K20" i="68"/>
  <c r="K21" i="68" s="1"/>
  <c r="V20" i="68"/>
  <c r="P20" i="68"/>
  <c r="P21" i="68" s="1"/>
  <c r="U20" i="68"/>
  <c r="U21" i="68" s="1"/>
  <c r="O20" i="68"/>
  <c r="I20" i="68"/>
  <c r="I21" i="68" s="1"/>
  <c r="T20" i="68"/>
  <c r="T21" i="68" s="1"/>
  <c r="N20" i="68"/>
  <c r="N21" i="68" s="1"/>
  <c r="H20" i="68"/>
  <c r="H21" i="68" s="1"/>
  <c r="S20" i="68"/>
  <c r="M20" i="68"/>
  <c r="M21" i="68" s="1"/>
  <c r="G20" i="68"/>
  <c r="G21" i="68" s="1"/>
  <c r="X20" i="68"/>
  <c r="R20" i="68"/>
  <c r="R21" i="68" s="1"/>
  <c r="L20" i="68"/>
  <c r="J20" i="68"/>
  <c r="J21" i="68" s="1"/>
  <c r="S21" i="68"/>
  <c r="L21" i="68"/>
  <c r="F21" i="68"/>
  <c r="W16" i="68"/>
  <c r="X19" i="68"/>
  <c r="X21" i="68" s="1"/>
  <c r="O21" i="68"/>
  <c r="V21" i="68"/>
  <c r="F20" i="67"/>
  <c r="F11" i="67"/>
  <c r="F8" i="64"/>
  <c r="E20" i="66"/>
  <c r="F11" i="66"/>
  <c r="F8" i="66"/>
  <c r="E20" i="65"/>
  <c r="F11" i="65"/>
  <c r="P19" i="65"/>
  <c r="P16" i="65"/>
  <c r="L19" i="65"/>
  <c r="K18" i="65"/>
  <c r="P18" i="65"/>
  <c r="K19" i="65"/>
  <c r="E20" i="64"/>
  <c r="F11" i="64"/>
  <c r="F8" i="62"/>
  <c r="J19" i="60"/>
  <c r="U19" i="60"/>
  <c r="M19" i="60"/>
  <c r="P19" i="60"/>
  <c r="H19" i="60"/>
  <c r="F19" i="60"/>
  <c r="S19" i="60"/>
  <c r="F11" i="60"/>
  <c r="V19" i="60"/>
  <c r="N19" i="60"/>
  <c r="L19" i="60"/>
  <c r="Y19" i="60"/>
  <c r="Y20" i="60"/>
  <c r="V20" i="60"/>
  <c r="F20" i="60"/>
  <c r="AA20" i="60"/>
  <c r="O19" i="60"/>
  <c r="AB19" i="60"/>
  <c r="T19" i="60"/>
  <c r="R19" i="60"/>
  <c r="P20" i="60"/>
  <c r="H20" i="60"/>
  <c r="AB20" i="60"/>
  <c r="R20" i="60"/>
  <c r="C37" i="14"/>
  <c r="D54" i="50"/>
  <c r="D20" i="62"/>
  <c r="F11" i="62"/>
  <c r="F8" i="61"/>
  <c r="D20" i="61"/>
  <c r="D21" i="61" s="1"/>
  <c r="K16" i="61"/>
  <c r="J19" i="61"/>
  <c r="H20" i="61"/>
  <c r="H21" i="61" s="1"/>
  <c r="E21" i="60"/>
  <c r="D21" i="60"/>
  <c r="AA20" i="76" l="1"/>
  <c r="AA21" i="76" s="1"/>
  <c r="U20" i="76"/>
  <c r="U21" i="76" s="1"/>
  <c r="O20" i="76"/>
  <c r="O21" i="76" s="1"/>
  <c r="I20" i="76"/>
  <c r="I21" i="76" s="1"/>
  <c r="Y20" i="76"/>
  <c r="Y21" i="76" s="1"/>
  <c r="M20" i="76"/>
  <c r="M21" i="76" s="1"/>
  <c r="AF20" i="76"/>
  <c r="AF21" i="76" s="1"/>
  <c r="Z20" i="76"/>
  <c r="Z21" i="76" s="1"/>
  <c r="T20" i="76"/>
  <c r="T21" i="76" s="1"/>
  <c r="N20" i="76"/>
  <c r="N21" i="76" s="1"/>
  <c r="AE20" i="76"/>
  <c r="AE21" i="76" s="1"/>
  <c r="S20" i="76"/>
  <c r="S21" i="76" s="1"/>
  <c r="AD20" i="76"/>
  <c r="AD21" i="76" s="1"/>
  <c r="X20" i="76"/>
  <c r="X21" i="76" s="1"/>
  <c r="R20" i="76"/>
  <c r="R21" i="76" s="1"/>
  <c r="L20" i="76"/>
  <c r="L21" i="76" s="1"/>
  <c r="K20" i="76"/>
  <c r="K21" i="76" s="1"/>
  <c r="AB20" i="76"/>
  <c r="AB21" i="76" s="1"/>
  <c r="V20" i="76"/>
  <c r="V21" i="76" s="1"/>
  <c r="P20" i="76"/>
  <c r="P21" i="76" s="1"/>
  <c r="J20" i="76"/>
  <c r="J21" i="76" s="1"/>
  <c r="AC20" i="76"/>
  <c r="AC21" i="76" s="1"/>
  <c r="W20" i="76"/>
  <c r="W21" i="76" s="1"/>
  <c r="Q20" i="76"/>
  <c r="Q21" i="76" s="1"/>
  <c r="H21" i="76"/>
  <c r="AD20" i="74"/>
  <c r="AD21" i="74" s="1"/>
  <c r="X20" i="74"/>
  <c r="X21" i="74" s="1"/>
  <c r="R20" i="74"/>
  <c r="R21" i="74" s="1"/>
  <c r="L20" i="74"/>
  <c r="L21" i="74" s="1"/>
  <c r="V20" i="74"/>
  <c r="V21" i="74" s="1"/>
  <c r="J20" i="74"/>
  <c r="J21" i="74" s="1"/>
  <c r="U20" i="74"/>
  <c r="U21" i="74" s="1"/>
  <c r="Z20" i="74"/>
  <c r="Z21" i="74" s="1"/>
  <c r="AE20" i="74"/>
  <c r="AE21" i="74" s="1"/>
  <c r="S20" i="74"/>
  <c r="S21" i="74" s="1"/>
  <c r="M20" i="74"/>
  <c r="M21" i="74" s="1"/>
  <c r="AC20" i="74"/>
  <c r="AC21" i="74" s="1"/>
  <c r="W20" i="74"/>
  <c r="W21" i="74" s="1"/>
  <c r="Q20" i="74"/>
  <c r="Q21" i="74" s="1"/>
  <c r="K20" i="74"/>
  <c r="K21" i="74" s="1"/>
  <c r="AB20" i="74"/>
  <c r="AB21" i="74" s="1"/>
  <c r="P20" i="74"/>
  <c r="P21" i="74" s="1"/>
  <c r="AA20" i="74"/>
  <c r="AA21" i="74" s="1"/>
  <c r="O20" i="74"/>
  <c r="O21" i="74" s="1"/>
  <c r="I20" i="74"/>
  <c r="I21" i="74" s="1"/>
  <c r="T20" i="74"/>
  <c r="T21" i="74" s="1"/>
  <c r="N20" i="74"/>
  <c r="N21" i="74" s="1"/>
  <c r="Y20" i="74"/>
  <c r="Y21" i="74" s="1"/>
  <c r="H21" i="74"/>
  <c r="L20" i="73"/>
  <c r="L21" i="73" s="1"/>
  <c r="AC20" i="73"/>
  <c r="AC21" i="73" s="1"/>
  <c r="W20" i="73"/>
  <c r="W21" i="73" s="1"/>
  <c r="Q20" i="73"/>
  <c r="Q21" i="73" s="1"/>
  <c r="K20" i="73"/>
  <c r="K21" i="73" s="1"/>
  <c r="AB20" i="73"/>
  <c r="AB21" i="73" s="1"/>
  <c r="V20" i="73"/>
  <c r="V21" i="73" s="1"/>
  <c r="P20" i="73"/>
  <c r="P21" i="73" s="1"/>
  <c r="J20" i="73"/>
  <c r="J21" i="73" s="1"/>
  <c r="N20" i="73"/>
  <c r="N21" i="73" s="1"/>
  <c r="Y20" i="73"/>
  <c r="Y21" i="73" s="1"/>
  <c r="AD20" i="73"/>
  <c r="AD21" i="73" s="1"/>
  <c r="X20" i="73"/>
  <c r="X21" i="73" s="1"/>
  <c r="AA20" i="73"/>
  <c r="AA21" i="73" s="1"/>
  <c r="U20" i="73"/>
  <c r="U21" i="73" s="1"/>
  <c r="O20" i="73"/>
  <c r="O21" i="73" s="1"/>
  <c r="I20" i="73"/>
  <c r="I21" i="73" s="1"/>
  <c r="Z20" i="73"/>
  <c r="Z21" i="73" s="1"/>
  <c r="T20" i="73"/>
  <c r="T21" i="73" s="1"/>
  <c r="AE20" i="73"/>
  <c r="AE21" i="73" s="1"/>
  <c r="S20" i="73"/>
  <c r="S21" i="73" s="1"/>
  <c r="M20" i="73"/>
  <c r="M21" i="73" s="1"/>
  <c r="R20" i="73"/>
  <c r="R21" i="73" s="1"/>
  <c r="H21" i="73"/>
  <c r="T20" i="72"/>
  <c r="T21" i="72" s="1"/>
  <c r="H20" i="72"/>
  <c r="H21" i="72" s="1"/>
  <c r="AD20" i="72"/>
  <c r="AD21" i="72" s="1"/>
  <c r="X20" i="72"/>
  <c r="X21" i="72" s="1"/>
  <c r="R20" i="72"/>
  <c r="R21" i="72" s="1"/>
  <c r="L20" i="72"/>
  <c r="L21" i="72" s="1"/>
  <c r="V20" i="72"/>
  <c r="V21" i="72" s="1"/>
  <c r="J20" i="72"/>
  <c r="J21" i="72" s="1"/>
  <c r="AA20" i="72"/>
  <c r="AA21" i="72" s="1"/>
  <c r="O20" i="72"/>
  <c r="O21" i="72" s="1"/>
  <c r="I20" i="72"/>
  <c r="I21" i="72" s="1"/>
  <c r="N20" i="72"/>
  <c r="N21" i="72" s="1"/>
  <c r="AE20" i="72"/>
  <c r="AE21" i="72" s="1"/>
  <c r="M20" i="72"/>
  <c r="M21" i="72" s="1"/>
  <c r="AC20" i="72"/>
  <c r="AC21" i="72" s="1"/>
  <c r="W20" i="72"/>
  <c r="W21" i="72" s="1"/>
  <c r="Q20" i="72"/>
  <c r="Q21" i="72" s="1"/>
  <c r="K20" i="72"/>
  <c r="K21" i="72" s="1"/>
  <c r="AB20" i="72"/>
  <c r="AB21" i="72" s="1"/>
  <c r="P20" i="72"/>
  <c r="P21" i="72" s="1"/>
  <c r="U20" i="72"/>
  <c r="U21" i="72" s="1"/>
  <c r="Z20" i="72"/>
  <c r="Z21" i="72" s="1"/>
  <c r="Y20" i="72"/>
  <c r="Y21" i="72" s="1"/>
  <c r="S20" i="72"/>
  <c r="S21" i="72" s="1"/>
  <c r="G21" i="72"/>
  <c r="R16" i="71"/>
  <c r="T19" i="71"/>
  <c r="T18" i="71"/>
  <c r="T21" i="71" s="1"/>
  <c r="AD20" i="70"/>
  <c r="AD21" i="70" s="1"/>
  <c r="X20" i="70"/>
  <c r="X21" i="70" s="1"/>
  <c r="R20" i="70"/>
  <c r="R21" i="70" s="1"/>
  <c r="L20" i="70"/>
  <c r="L21" i="70" s="1"/>
  <c r="W20" i="70"/>
  <c r="W21" i="70" s="1"/>
  <c r="J20" i="70"/>
  <c r="J21" i="70" s="1"/>
  <c r="AB20" i="70"/>
  <c r="AB21" i="70" s="1"/>
  <c r="P20" i="70"/>
  <c r="P21" i="70" s="1"/>
  <c r="AA20" i="70"/>
  <c r="AA21" i="70" s="1"/>
  <c r="U20" i="70"/>
  <c r="U21" i="70" s="1"/>
  <c r="O20" i="70"/>
  <c r="O21" i="70" s="1"/>
  <c r="I20" i="70"/>
  <c r="I21" i="70" s="1"/>
  <c r="Z20" i="70"/>
  <c r="Z21" i="70" s="1"/>
  <c r="T20" i="70"/>
  <c r="T21" i="70" s="1"/>
  <c r="N20" i="70"/>
  <c r="N21" i="70" s="1"/>
  <c r="H20" i="70"/>
  <c r="H21" i="70" s="1"/>
  <c r="Y20" i="70"/>
  <c r="Y21" i="70" s="1"/>
  <c r="S20" i="70"/>
  <c r="S21" i="70" s="1"/>
  <c r="M20" i="70"/>
  <c r="M21" i="70" s="1"/>
  <c r="AC20" i="70"/>
  <c r="AC21" i="70" s="1"/>
  <c r="Q20" i="70"/>
  <c r="Q21" i="70" s="1"/>
  <c r="K20" i="70"/>
  <c r="K21" i="70" s="1"/>
  <c r="V20" i="70"/>
  <c r="V21" i="70" s="1"/>
  <c r="G21" i="70"/>
  <c r="R21" i="69"/>
  <c r="R16" i="69"/>
  <c r="S18" i="69"/>
  <c r="S19" i="69"/>
  <c r="X16" i="68"/>
  <c r="Y18" i="68"/>
  <c r="Y19" i="68"/>
  <c r="Y20" i="68"/>
  <c r="X20" i="67"/>
  <c r="X21" i="67" s="1"/>
  <c r="R20" i="67"/>
  <c r="R21" i="67" s="1"/>
  <c r="L20" i="67"/>
  <c r="L21" i="67" s="1"/>
  <c r="V20" i="67"/>
  <c r="V21" i="67" s="1"/>
  <c r="J20" i="67"/>
  <c r="J21" i="67" s="1"/>
  <c r="Y20" i="67"/>
  <c r="Y21" i="67" s="1"/>
  <c r="G20" i="67"/>
  <c r="G21" i="67" s="1"/>
  <c r="AC20" i="67"/>
  <c r="AC21" i="67" s="1"/>
  <c r="W20" i="67"/>
  <c r="W21" i="67" s="1"/>
  <c r="Q20" i="67"/>
  <c r="Q21" i="67" s="1"/>
  <c r="K20" i="67"/>
  <c r="K21" i="67" s="1"/>
  <c r="AB20" i="67"/>
  <c r="AB21" i="67" s="1"/>
  <c r="P20" i="67"/>
  <c r="P21" i="67" s="1"/>
  <c r="S20" i="67"/>
  <c r="S21" i="67" s="1"/>
  <c r="AA20" i="67"/>
  <c r="AA21" i="67" s="1"/>
  <c r="U20" i="67"/>
  <c r="U21" i="67" s="1"/>
  <c r="O20" i="67"/>
  <c r="O21" i="67" s="1"/>
  <c r="I20" i="67"/>
  <c r="I21" i="67" s="1"/>
  <c r="Z20" i="67"/>
  <c r="Z21" i="67" s="1"/>
  <c r="T20" i="67"/>
  <c r="T21" i="67" s="1"/>
  <c r="N20" i="67"/>
  <c r="N21" i="67" s="1"/>
  <c r="H20" i="67"/>
  <c r="H21" i="67" s="1"/>
  <c r="M20" i="67"/>
  <c r="M21" i="67" s="1"/>
  <c r="F21" i="67"/>
  <c r="AC20" i="66"/>
  <c r="AC21" i="66" s="1"/>
  <c r="W20" i="66"/>
  <c r="W21" i="66" s="1"/>
  <c r="Q20" i="66"/>
  <c r="Q21" i="66" s="1"/>
  <c r="K20" i="66"/>
  <c r="K21" i="66" s="1"/>
  <c r="R20" i="66"/>
  <c r="R21" i="66" s="1"/>
  <c r="AB20" i="66"/>
  <c r="AB21" i="66" s="1"/>
  <c r="V20" i="66"/>
  <c r="V21" i="66" s="1"/>
  <c r="P20" i="66"/>
  <c r="P21" i="66" s="1"/>
  <c r="J20" i="66"/>
  <c r="J21" i="66" s="1"/>
  <c r="S20" i="66"/>
  <c r="S21" i="66" s="1"/>
  <c r="X20" i="66"/>
  <c r="X21" i="66" s="1"/>
  <c r="AA20" i="66"/>
  <c r="AA21" i="66" s="1"/>
  <c r="U20" i="66"/>
  <c r="U21" i="66" s="1"/>
  <c r="O20" i="66"/>
  <c r="O21" i="66" s="1"/>
  <c r="I20" i="66"/>
  <c r="I21" i="66" s="1"/>
  <c r="L20" i="66"/>
  <c r="L21" i="66" s="1"/>
  <c r="Z20" i="66"/>
  <c r="Z21" i="66" s="1"/>
  <c r="T20" i="66"/>
  <c r="T21" i="66" s="1"/>
  <c r="N20" i="66"/>
  <c r="N21" i="66" s="1"/>
  <c r="H20" i="66"/>
  <c r="H21" i="66" s="1"/>
  <c r="G20" i="66"/>
  <c r="G21" i="66" s="1"/>
  <c r="F20" i="66"/>
  <c r="F21" i="66" s="1"/>
  <c r="Y20" i="66"/>
  <c r="Y21" i="66" s="1"/>
  <c r="M20" i="66"/>
  <c r="M21" i="66" s="1"/>
  <c r="E21" i="66"/>
  <c r="Q16" i="65"/>
  <c r="Q19" i="65"/>
  <c r="Q18" i="65"/>
  <c r="F20" i="65"/>
  <c r="F21" i="65" s="1"/>
  <c r="Q20" i="65"/>
  <c r="J20" i="65"/>
  <c r="J21" i="65" s="1"/>
  <c r="I20" i="65"/>
  <c r="I21" i="65" s="1"/>
  <c r="N20" i="65"/>
  <c r="N21" i="65" s="1"/>
  <c r="H20" i="65"/>
  <c r="H21" i="65" s="1"/>
  <c r="M20" i="65"/>
  <c r="M21" i="65" s="1"/>
  <c r="G20" i="65"/>
  <c r="G21" i="65" s="1"/>
  <c r="R20" i="65"/>
  <c r="L20" i="65"/>
  <c r="L21" i="65" s="1"/>
  <c r="K20" i="65"/>
  <c r="K21" i="65" s="1"/>
  <c r="P20" i="65"/>
  <c r="P21" i="65" s="1"/>
  <c r="O20" i="65"/>
  <c r="O21" i="65" s="1"/>
  <c r="E21" i="65"/>
  <c r="X20" i="64"/>
  <c r="X21" i="64" s="1"/>
  <c r="R20" i="64"/>
  <c r="R21" i="64" s="1"/>
  <c r="L20" i="64"/>
  <c r="L21" i="64" s="1"/>
  <c r="F20" i="64"/>
  <c r="F21" i="64" s="1"/>
  <c r="AA20" i="64"/>
  <c r="AA21" i="64" s="1"/>
  <c r="I20" i="64"/>
  <c r="I21" i="64" s="1"/>
  <c r="AC20" i="64"/>
  <c r="AC21" i="64" s="1"/>
  <c r="W20" i="64"/>
  <c r="W21" i="64" s="1"/>
  <c r="Q20" i="64"/>
  <c r="Q21" i="64" s="1"/>
  <c r="K20" i="64"/>
  <c r="K21" i="64" s="1"/>
  <c r="U20" i="64"/>
  <c r="U21" i="64" s="1"/>
  <c r="O20" i="64"/>
  <c r="O21" i="64" s="1"/>
  <c r="AB20" i="64"/>
  <c r="AB21" i="64" s="1"/>
  <c r="V20" i="64"/>
  <c r="V21" i="64" s="1"/>
  <c r="P20" i="64"/>
  <c r="P21" i="64" s="1"/>
  <c r="J20" i="64"/>
  <c r="J21" i="64" s="1"/>
  <c r="Z20" i="64"/>
  <c r="Z21" i="64" s="1"/>
  <c r="T20" i="64"/>
  <c r="T21" i="64" s="1"/>
  <c r="N20" i="64"/>
  <c r="N21" i="64" s="1"/>
  <c r="H20" i="64"/>
  <c r="H21" i="64" s="1"/>
  <c r="Y20" i="64"/>
  <c r="Y21" i="64" s="1"/>
  <c r="S20" i="64"/>
  <c r="S21" i="64" s="1"/>
  <c r="M20" i="64"/>
  <c r="M21" i="64" s="1"/>
  <c r="G20" i="64"/>
  <c r="G21" i="64" s="1"/>
  <c r="E21" i="64"/>
  <c r="D40" i="50"/>
  <c r="H39" i="50"/>
  <c r="K20" i="61"/>
  <c r="D42" i="50"/>
  <c r="F20" i="61"/>
  <c r="F21" i="61" s="1"/>
  <c r="G20" i="61"/>
  <c r="E9" i="59"/>
  <c r="C40" i="14"/>
  <c r="W20" i="62"/>
  <c r="W21" i="62" s="1"/>
  <c r="Q20" i="62"/>
  <c r="Q21" i="62" s="1"/>
  <c r="K20" i="62"/>
  <c r="K21" i="62" s="1"/>
  <c r="E20" i="62"/>
  <c r="E21" i="62" s="1"/>
  <c r="AB20" i="62"/>
  <c r="AB21" i="62" s="1"/>
  <c r="V20" i="62"/>
  <c r="V21" i="62" s="1"/>
  <c r="P20" i="62"/>
  <c r="P21" i="62" s="1"/>
  <c r="J20" i="62"/>
  <c r="J21" i="62" s="1"/>
  <c r="M20" i="62"/>
  <c r="M21" i="62" s="1"/>
  <c r="L20" i="62"/>
  <c r="L21" i="62" s="1"/>
  <c r="AA20" i="62"/>
  <c r="AA21" i="62" s="1"/>
  <c r="U20" i="62"/>
  <c r="U21" i="62" s="1"/>
  <c r="O20" i="62"/>
  <c r="O21" i="62" s="1"/>
  <c r="I20" i="62"/>
  <c r="I21" i="62" s="1"/>
  <c r="S20" i="62"/>
  <c r="S21" i="62" s="1"/>
  <c r="Z20" i="62"/>
  <c r="Z21" i="62" s="1"/>
  <c r="T20" i="62"/>
  <c r="T21" i="62" s="1"/>
  <c r="N20" i="62"/>
  <c r="N21" i="62" s="1"/>
  <c r="H20" i="62"/>
  <c r="H21" i="62" s="1"/>
  <c r="Y20" i="62"/>
  <c r="Y21" i="62" s="1"/>
  <c r="G20" i="62"/>
  <c r="G21" i="62" s="1"/>
  <c r="X20" i="62"/>
  <c r="X21" i="62" s="1"/>
  <c r="R20" i="62"/>
  <c r="R21" i="62" s="1"/>
  <c r="F20" i="62"/>
  <c r="F21" i="62" s="1"/>
  <c r="D21" i="62"/>
  <c r="I20" i="61"/>
  <c r="J20" i="61"/>
  <c r="E20" i="61"/>
  <c r="L16" i="61"/>
  <c r="K18" i="61"/>
  <c r="K19" i="61"/>
  <c r="F21" i="60"/>
  <c r="S16" i="71" l="1"/>
  <c r="U18" i="71"/>
  <c r="U19" i="71"/>
  <c r="U20" i="71"/>
  <c r="Y21" i="68"/>
  <c r="S21" i="69"/>
  <c r="S16" i="69"/>
  <c r="T18" i="69"/>
  <c r="T19" i="69"/>
  <c r="T20" i="69"/>
  <c r="Y16" i="68"/>
  <c r="Z18" i="68"/>
  <c r="Z19" i="68"/>
  <c r="Z20" i="68"/>
  <c r="Q21" i="65"/>
  <c r="R16" i="65"/>
  <c r="R19" i="65"/>
  <c r="R18" i="65"/>
  <c r="R21" i="65" s="1"/>
  <c r="E21" i="61"/>
  <c r="G21" i="61"/>
  <c r="J21" i="61"/>
  <c r="F39" i="50"/>
  <c r="I21" i="61"/>
  <c r="K21" i="61"/>
  <c r="M16" i="61"/>
  <c r="L19" i="61"/>
  <c r="L18" i="61"/>
  <c r="L20" i="61"/>
  <c r="G21" i="60"/>
  <c r="U21" i="71" l="1"/>
  <c r="T16" i="71"/>
  <c r="V18" i="71"/>
  <c r="V19" i="71"/>
  <c r="V20" i="71"/>
  <c r="T21" i="69"/>
  <c r="T16" i="69"/>
  <c r="U19" i="69"/>
  <c r="U18" i="69"/>
  <c r="U20" i="69"/>
  <c r="Z21" i="68"/>
  <c r="Z16" i="68"/>
  <c r="AA19" i="68"/>
  <c r="AA18" i="68"/>
  <c r="AA20" i="68"/>
  <c r="S16" i="65"/>
  <c r="S19" i="65"/>
  <c r="S18" i="65"/>
  <c r="S20" i="65"/>
  <c r="K39" i="50"/>
  <c r="I39" i="50"/>
  <c r="E39" i="50"/>
  <c r="J39" i="50"/>
  <c r="N16" i="61"/>
  <c r="M18" i="61"/>
  <c r="M19" i="61"/>
  <c r="M20" i="61"/>
  <c r="L21" i="61"/>
  <c r="L39" i="50" s="1"/>
  <c r="H21" i="60"/>
  <c r="U16" i="71" l="1"/>
  <c r="W19" i="71"/>
  <c r="W18" i="71"/>
  <c r="W20" i="71"/>
  <c r="V21" i="71"/>
  <c r="AA21" i="68"/>
  <c r="U21" i="69"/>
  <c r="U16" i="69"/>
  <c r="V18" i="69"/>
  <c r="V19" i="69"/>
  <c r="V20" i="69"/>
  <c r="AA16" i="68"/>
  <c r="AB19" i="68"/>
  <c r="AB18" i="68"/>
  <c r="AB20" i="68"/>
  <c r="S21" i="65"/>
  <c r="T16" i="65"/>
  <c r="T18" i="65"/>
  <c r="T19" i="65"/>
  <c r="T20" i="65"/>
  <c r="M21" i="61"/>
  <c r="M39" i="50" s="1"/>
  <c r="O16" i="61"/>
  <c r="N18" i="61"/>
  <c r="N19" i="61"/>
  <c r="N20" i="61"/>
  <c r="I21" i="60"/>
  <c r="W21" i="71" l="1"/>
  <c r="V16" i="71"/>
  <c r="X19" i="71"/>
  <c r="X18" i="71"/>
  <c r="X20" i="71"/>
  <c r="V21" i="69"/>
  <c r="V16" i="69"/>
  <c r="W19" i="69"/>
  <c r="W18" i="69"/>
  <c r="W20" i="69"/>
  <c r="AB21" i="68"/>
  <c r="AB16" i="68"/>
  <c r="AC19" i="68"/>
  <c r="AC18" i="68"/>
  <c r="AC20" i="68"/>
  <c r="T21" i="65"/>
  <c r="U16" i="65"/>
  <c r="U18" i="65"/>
  <c r="U19" i="65"/>
  <c r="U20" i="65"/>
  <c r="N21" i="61"/>
  <c r="N39" i="50" s="1"/>
  <c r="P16" i="61"/>
  <c r="O19" i="61"/>
  <c r="O18" i="61"/>
  <c r="O20" i="61"/>
  <c r="J21" i="60"/>
  <c r="X21" i="71" l="1"/>
  <c r="W16" i="71"/>
  <c r="Y18" i="71"/>
  <c r="Y19" i="71"/>
  <c r="Y20" i="71"/>
  <c r="W21" i="69"/>
  <c r="W16" i="69"/>
  <c r="X18" i="69"/>
  <c r="X19" i="69"/>
  <c r="X20" i="69"/>
  <c r="AC21" i="68"/>
  <c r="AD19" i="68"/>
  <c r="AD18" i="68"/>
  <c r="AD20" i="68"/>
  <c r="U21" i="65"/>
  <c r="V19" i="65"/>
  <c r="V16" i="65"/>
  <c r="V18" i="65"/>
  <c r="V20" i="65"/>
  <c r="O21" i="61"/>
  <c r="O39" i="50" s="1"/>
  <c r="Q16" i="61"/>
  <c r="P18" i="61"/>
  <c r="P19" i="61"/>
  <c r="P20" i="61"/>
  <c r="K21" i="60"/>
  <c r="Y21" i="71" l="1"/>
  <c r="X16" i="71"/>
  <c r="Z19" i="71"/>
  <c r="Z18" i="71"/>
  <c r="Z20" i="71"/>
  <c r="X21" i="69"/>
  <c r="X16" i="69"/>
  <c r="Y19" i="69"/>
  <c r="Y18" i="69"/>
  <c r="Y20" i="69"/>
  <c r="AD21" i="68"/>
  <c r="V21" i="65"/>
  <c r="W16" i="65"/>
  <c r="W18" i="65"/>
  <c r="W19" i="65"/>
  <c r="W20" i="65"/>
  <c r="P21" i="61"/>
  <c r="P39" i="50" s="1"/>
  <c r="R16" i="61"/>
  <c r="Q18" i="61"/>
  <c r="Q19" i="61"/>
  <c r="Q20" i="61"/>
  <c r="L21" i="60"/>
  <c r="Z21" i="71" l="1"/>
  <c r="Y16" i="71"/>
  <c r="AA19" i="71"/>
  <c r="AA18" i="71"/>
  <c r="AA20" i="71"/>
  <c r="Y21" i="69"/>
  <c r="Y16" i="69"/>
  <c r="Z18" i="69"/>
  <c r="Z19" i="69"/>
  <c r="Z20" i="69"/>
  <c r="W21" i="65"/>
  <c r="X16" i="65"/>
  <c r="X19" i="65"/>
  <c r="X18" i="65"/>
  <c r="X20" i="65"/>
  <c r="Q21" i="61"/>
  <c r="Q39" i="50" s="1"/>
  <c r="S16" i="61"/>
  <c r="R19" i="61"/>
  <c r="R18" i="61"/>
  <c r="R20" i="61"/>
  <c r="M21" i="60"/>
  <c r="AA21" i="71" l="1"/>
  <c r="Z16" i="71"/>
  <c r="AB18" i="71"/>
  <c r="AB19" i="71"/>
  <c r="AB20" i="71"/>
  <c r="Z21" i="69"/>
  <c r="Z16" i="69"/>
  <c r="AA18" i="69"/>
  <c r="AA19" i="69"/>
  <c r="AA20" i="69"/>
  <c r="X21" i="65"/>
  <c r="Y16" i="65"/>
  <c r="Y18" i="65"/>
  <c r="Y19" i="65"/>
  <c r="Y20" i="65"/>
  <c r="R21" i="61"/>
  <c r="R39" i="50" s="1"/>
  <c r="T16" i="61"/>
  <c r="S19" i="61"/>
  <c r="S18" i="61"/>
  <c r="S20" i="61"/>
  <c r="N21" i="60"/>
  <c r="AB21" i="71" l="1"/>
  <c r="AA16" i="71"/>
  <c r="AC19" i="71"/>
  <c r="AC18" i="71"/>
  <c r="AC21" i="71" s="1"/>
  <c r="AC20" i="71"/>
  <c r="AA21" i="69"/>
  <c r="AA16" i="69"/>
  <c r="AB19" i="69"/>
  <c r="AB18" i="69"/>
  <c r="AB21" i="69" s="1"/>
  <c r="AB20" i="69"/>
  <c r="Y21" i="65"/>
  <c r="Z16" i="65"/>
  <c r="Z18" i="65"/>
  <c r="Z19" i="65"/>
  <c r="Z20" i="65"/>
  <c r="S21" i="61"/>
  <c r="S39" i="50" s="1"/>
  <c r="U16" i="61"/>
  <c r="T18" i="61"/>
  <c r="T19" i="61"/>
  <c r="T20" i="61"/>
  <c r="O21" i="60"/>
  <c r="AB16" i="71" l="1"/>
  <c r="AD19" i="71"/>
  <c r="AD18" i="71"/>
  <c r="AD20" i="71"/>
  <c r="AB16" i="69"/>
  <c r="AC18" i="69"/>
  <c r="AC19" i="69"/>
  <c r="AC20" i="69"/>
  <c r="Z21" i="65"/>
  <c r="AA16" i="65"/>
  <c r="AA18" i="65"/>
  <c r="AA19" i="65"/>
  <c r="AA20" i="65"/>
  <c r="T21" i="61"/>
  <c r="T39" i="50" s="1"/>
  <c r="V16" i="61"/>
  <c r="U18" i="61"/>
  <c r="U19" i="61"/>
  <c r="U20" i="61"/>
  <c r="P21" i="60"/>
  <c r="AD21" i="71" l="1"/>
  <c r="AE18" i="71"/>
  <c r="AE19" i="71"/>
  <c r="AE20" i="71"/>
  <c r="AD19" i="69"/>
  <c r="AD18" i="69"/>
  <c r="AD21" i="69" s="1"/>
  <c r="AD20" i="69"/>
  <c r="AC21" i="69"/>
  <c r="AA21" i="65"/>
  <c r="AB16" i="65"/>
  <c r="AB19" i="65"/>
  <c r="AB18" i="65"/>
  <c r="AB20" i="65"/>
  <c r="U21" i="61"/>
  <c r="U39" i="50" s="1"/>
  <c r="W16" i="61"/>
  <c r="V18" i="61"/>
  <c r="V19" i="61"/>
  <c r="V20" i="61"/>
  <c r="Q21" i="60"/>
  <c r="AE21" i="71" l="1"/>
  <c r="AB21" i="65"/>
  <c r="AC18" i="65"/>
  <c r="AC19" i="65"/>
  <c r="AC20" i="65"/>
  <c r="V21" i="61"/>
  <c r="V39" i="50" s="1"/>
  <c r="X16" i="61"/>
  <c r="W18" i="61"/>
  <c r="W19" i="61"/>
  <c r="W20" i="61"/>
  <c r="R21" i="60"/>
  <c r="AC21" i="65" l="1"/>
  <c r="W21" i="61"/>
  <c r="W39" i="50" s="1"/>
  <c r="Y16" i="61"/>
  <c r="X18" i="61"/>
  <c r="X19" i="61"/>
  <c r="X20" i="61"/>
  <c r="S21" i="60"/>
  <c r="X21" i="61" l="1"/>
  <c r="X39" i="50" s="1"/>
  <c r="Z16" i="61"/>
  <c r="Y19" i="61"/>
  <c r="Y18" i="61"/>
  <c r="Y20" i="61"/>
  <c r="T21" i="60"/>
  <c r="Y21" i="61" l="1"/>
  <c r="Y39" i="50" s="1"/>
  <c r="AA16" i="61"/>
  <c r="Z19" i="61"/>
  <c r="Z18" i="61"/>
  <c r="Z20" i="61"/>
  <c r="U21" i="60"/>
  <c r="Z21" i="61" l="1"/>
  <c r="Z39" i="50" s="1"/>
  <c r="AB16" i="61"/>
  <c r="AA19" i="61"/>
  <c r="AA18" i="61"/>
  <c r="AA20" i="61"/>
  <c r="V21" i="60"/>
  <c r="AA21" i="61" l="1"/>
  <c r="AA39" i="50" s="1"/>
  <c r="AB19" i="61"/>
  <c r="AB18" i="61"/>
  <c r="AB20" i="61"/>
  <c r="W21" i="60"/>
  <c r="AB21" i="61" l="1"/>
  <c r="AB39" i="50" s="1"/>
  <c r="X21" i="60"/>
  <c r="Y21" i="60" l="1"/>
  <c r="Z21" i="60" l="1"/>
  <c r="AA21" i="60" l="1"/>
  <c r="AB21" i="60" l="1"/>
  <c r="D21" i="50" l="1"/>
  <c r="E11" i="59" l="1"/>
  <c r="E17" i="59"/>
  <c r="E15" i="59"/>
  <c r="E16" i="59"/>
  <c r="D72" i="50" l="1"/>
  <c r="D67" i="50"/>
  <c r="F54" i="55" l="1"/>
  <c r="AB71" i="50" l="1"/>
  <c r="AD30" i="55" s="1"/>
  <c r="AA71" i="50"/>
  <c r="AC30" i="55" s="1"/>
  <c r="Z71" i="50"/>
  <c r="AB30" i="55" s="1"/>
  <c r="Y71" i="50"/>
  <c r="AA30" i="55" s="1"/>
  <c r="X71" i="50"/>
  <c r="Z30" i="55" s="1"/>
  <c r="W71" i="50"/>
  <c r="Y30" i="55" s="1"/>
  <c r="V71" i="50"/>
  <c r="X30" i="55" s="1"/>
  <c r="U71" i="50"/>
  <c r="W30" i="55" s="1"/>
  <c r="T71" i="50"/>
  <c r="V30" i="55" s="1"/>
  <c r="S71" i="50"/>
  <c r="U30" i="55" s="1"/>
  <c r="AB68" i="50"/>
  <c r="AA68" i="50"/>
  <c r="Z68" i="50"/>
  <c r="Y68" i="50"/>
  <c r="X68" i="50"/>
  <c r="W68" i="50"/>
  <c r="V68" i="50"/>
  <c r="U68" i="50"/>
  <c r="T68" i="50"/>
  <c r="S68" i="50"/>
  <c r="R68" i="50"/>
  <c r="Q68" i="50"/>
  <c r="P68" i="50"/>
  <c r="O68" i="50"/>
  <c r="N68" i="50"/>
  <c r="T66" i="50" l="1"/>
  <c r="V32" i="55"/>
  <c r="AB66" i="50"/>
  <c r="AD32" i="55"/>
  <c r="U66" i="50"/>
  <c r="W32" i="55"/>
  <c r="P32" i="55"/>
  <c r="V66" i="50"/>
  <c r="X32" i="55"/>
  <c r="W66" i="50"/>
  <c r="Y32" i="55"/>
  <c r="R32" i="55"/>
  <c r="X66" i="50"/>
  <c r="Z32" i="55"/>
  <c r="S32" i="55"/>
  <c r="Q32" i="55"/>
  <c r="AA32" i="55"/>
  <c r="Y66" i="50"/>
  <c r="T32" i="55"/>
  <c r="AB32" i="55"/>
  <c r="Z66" i="50"/>
  <c r="S66" i="50"/>
  <c r="U32" i="55"/>
  <c r="AA66" i="50"/>
  <c r="AC32" i="55"/>
  <c r="D96" i="50" l="1"/>
  <c r="H69" i="55" l="1"/>
  <c r="AD29" i="55"/>
  <c r="AC29" i="55"/>
  <c r="AB29" i="55"/>
  <c r="AA29" i="55"/>
  <c r="Z29" i="55"/>
  <c r="Y29" i="55"/>
  <c r="X29" i="55"/>
  <c r="W29" i="55"/>
  <c r="V29" i="55"/>
  <c r="U29" i="55"/>
  <c r="T29" i="55"/>
  <c r="S29" i="55"/>
  <c r="R29" i="55"/>
  <c r="Q29" i="55"/>
  <c r="P29" i="55"/>
  <c r="O29" i="55"/>
  <c r="N29" i="55"/>
  <c r="M29" i="55"/>
  <c r="L29" i="55"/>
  <c r="K29" i="55"/>
  <c r="AD28" i="55"/>
  <c r="AC28" i="55"/>
  <c r="AB28" i="55"/>
  <c r="AA28" i="55"/>
  <c r="Z28" i="55"/>
  <c r="Y28" i="55"/>
  <c r="X28" i="55"/>
  <c r="W28" i="55"/>
  <c r="V28" i="55"/>
  <c r="U28" i="55"/>
  <c r="T28" i="55"/>
  <c r="S28" i="55"/>
  <c r="R28" i="55"/>
  <c r="Q28" i="55"/>
  <c r="P28" i="55"/>
  <c r="O28" i="55"/>
  <c r="N28" i="55"/>
  <c r="M28" i="55"/>
  <c r="L28" i="55"/>
  <c r="K28" i="55"/>
  <c r="AE33" i="55"/>
  <c r="AD22" i="55"/>
  <c r="AC22" i="55"/>
  <c r="AB22" i="55"/>
  <c r="AA22" i="55"/>
  <c r="Z22" i="55"/>
  <c r="Y22" i="55"/>
  <c r="X22" i="55"/>
  <c r="W22" i="55"/>
  <c r="V22" i="55"/>
  <c r="U22" i="55"/>
  <c r="T22" i="55"/>
  <c r="S22" i="55"/>
  <c r="R22" i="55"/>
  <c r="Q22" i="55"/>
  <c r="P22" i="55"/>
  <c r="O22" i="55"/>
  <c r="N22" i="55"/>
  <c r="M22" i="55"/>
  <c r="L22" i="55"/>
  <c r="K22" i="55"/>
  <c r="J22" i="55"/>
  <c r="I22" i="55"/>
  <c r="H22" i="55"/>
  <c r="G22" i="55"/>
  <c r="E35" i="50"/>
  <c r="E54" i="50" s="1"/>
  <c r="F35" i="50" l="1"/>
  <c r="F54" i="50" s="1"/>
  <c r="AA26" i="55"/>
  <c r="X26" i="55"/>
  <c r="Y26" i="55"/>
  <c r="Y45" i="55"/>
  <c r="L45" i="55"/>
  <c r="P45" i="55"/>
  <c r="T45" i="55"/>
  <c r="I45" i="55"/>
  <c r="X45" i="55"/>
  <c r="H45" i="55"/>
  <c r="Q45" i="55"/>
  <c r="AB45" i="55"/>
  <c r="M45" i="55"/>
  <c r="U45" i="55"/>
  <c r="AC45" i="55"/>
  <c r="F45" i="55"/>
  <c r="J45" i="55"/>
  <c r="N45" i="55"/>
  <c r="R45" i="55"/>
  <c r="V45" i="55"/>
  <c r="Z45" i="55"/>
  <c r="AD45" i="55"/>
  <c r="G45" i="55"/>
  <c r="K45" i="55"/>
  <c r="O45" i="55"/>
  <c r="S45" i="55"/>
  <c r="W45" i="55"/>
  <c r="AA45" i="55"/>
  <c r="U26" i="55"/>
  <c r="AD26" i="55"/>
  <c r="Z26" i="55"/>
  <c r="W26" i="55"/>
  <c r="V26" i="55"/>
  <c r="AC26" i="55"/>
  <c r="AB26" i="55"/>
  <c r="G35" i="50" l="1"/>
  <c r="G54" i="50" s="1"/>
  <c r="Z56" i="50"/>
  <c r="Z82" i="50" s="1"/>
  <c r="AA56" i="50"/>
  <c r="AA82" i="50" s="1"/>
  <c r="Y56" i="50"/>
  <c r="AA20" i="55" s="1"/>
  <c r="W56" i="50"/>
  <c r="W82" i="50" s="1"/>
  <c r="U56" i="50"/>
  <c r="U82" i="50" s="1"/>
  <c r="V56" i="50"/>
  <c r="V82" i="50" s="1"/>
  <c r="T56" i="50"/>
  <c r="T82" i="50" s="1"/>
  <c r="AB56" i="50"/>
  <c r="AB82" i="50" s="1"/>
  <c r="X56" i="50"/>
  <c r="X82" i="50" s="1"/>
  <c r="S56" i="50"/>
  <c r="S82" i="50" s="1"/>
  <c r="H35" i="50" l="1"/>
  <c r="H54" i="50" s="1"/>
  <c r="AD20" i="55"/>
  <c r="X20" i="55"/>
  <c r="U20" i="55"/>
  <c r="Y82" i="50"/>
  <c r="AC20" i="55"/>
  <c r="V20" i="55"/>
  <c r="Z20" i="55"/>
  <c r="Y20" i="55"/>
  <c r="AB20" i="55"/>
  <c r="W20" i="55"/>
  <c r="I35" i="50" l="1"/>
  <c r="I54" i="50" s="1"/>
  <c r="J35" i="50" l="1"/>
  <c r="J54" i="50" s="1"/>
  <c r="K35" i="50" l="1"/>
  <c r="K54" i="50" s="1"/>
  <c r="L35" i="50" l="1"/>
  <c r="L54" i="50" s="1"/>
  <c r="M35" i="50" l="1"/>
  <c r="M54" i="50" s="1"/>
  <c r="N35" i="50" l="1"/>
  <c r="K14" i="50"/>
  <c r="L15" i="50"/>
  <c r="L71" i="50" s="1"/>
  <c r="N30" i="55" s="1"/>
  <c r="J14" i="50"/>
  <c r="M15" i="50"/>
  <c r="M71" i="50" s="1"/>
  <c r="O30" i="55" s="1"/>
  <c r="J15" i="50"/>
  <c r="J71" i="50" s="1"/>
  <c r="L30" i="55" s="1"/>
  <c r="K15" i="50"/>
  <c r="K71" i="50" s="1"/>
  <c r="M30" i="55" s="1"/>
  <c r="L14" i="50"/>
  <c r="M14" i="50"/>
  <c r="I14" i="50"/>
  <c r="I15" i="50"/>
  <c r="I71" i="50" s="1"/>
  <c r="K30" i="55" s="1"/>
  <c r="Q71" i="50" l="1"/>
  <c r="P71" i="50"/>
  <c r="O71" i="50"/>
  <c r="N71" i="50"/>
  <c r="R71" i="50"/>
  <c r="O35" i="50"/>
  <c r="O54" i="50" s="1"/>
  <c r="N56" i="50"/>
  <c r="M16" i="50"/>
  <c r="L16" i="50"/>
  <c r="J16" i="50"/>
  <c r="Q56" i="50"/>
  <c r="K16" i="50"/>
  <c r="I16" i="50"/>
  <c r="O56" i="50"/>
  <c r="P56" i="50"/>
  <c r="R56" i="50"/>
  <c r="P30" i="55" l="1"/>
  <c r="P26" i="55" s="1"/>
  <c r="N66" i="50"/>
  <c r="Q30" i="55"/>
  <c r="Q26" i="55" s="1"/>
  <c r="O66" i="50"/>
  <c r="R30" i="55"/>
  <c r="R26" i="55" s="1"/>
  <c r="P66" i="50"/>
  <c r="T30" i="55"/>
  <c r="T26" i="55" s="1"/>
  <c r="R66" i="50"/>
  <c r="S30" i="55"/>
  <c r="S26" i="55" s="1"/>
  <c r="Q66" i="50"/>
  <c r="P35" i="50"/>
  <c r="P54" i="50" s="1"/>
  <c r="R82" i="50"/>
  <c r="T20" i="55"/>
  <c r="O82" i="50"/>
  <c r="Q20" i="55"/>
  <c r="Q82" i="50"/>
  <c r="S20" i="55"/>
  <c r="P82" i="50"/>
  <c r="R20" i="55"/>
  <c r="N82" i="50"/>
  <c r="P20" i="55"/>
  <c r="Q35" i="50" l="1"/>
  <c r="Q54" i="50" s="1"/>
  <c r="R35" i="50" l="1"/>
  <c r="R54" i="50" s="1"/>
  <c r="S35" i="50" l="1"/>
  <c r="S54" i="50" s="1"/>
  <c r="T35" i="50" l="1"/>
  <c r="T54" i="50" s="1"/>
  <c r="U35" i="50" l="1"/>
  <c r="U54" i="50" s="1"/>
  <c r="V35" i="50" l="1"/>
  <c r="V54" i="50" s="1"/>
  <c r="W35" i="50" l="1"/>
  <c r="W54" i="50" s="1"/>
  <c r="X35" i="50" l="1"/>
  <c r="X54" i="50" s="1"/>
  <c r="Y35" i="50" l="1"/>
  <c r="Y54" i="50" s="1"/>
  <c r="Z35" i="50" l="1"/>
  <c r="Z54" i="50" s="1"/>
  <c r="AA35" i="50" l="1"/>
  <c r="AA54" i="50" s="1"/>
  <c r="AB35" i="50" l="1"/>
  <c r="AB54" i="50" s="1"/>
  <c r="J28" i="55" l="1"/>
  <c r="G28" i="55"/>
  <c r="I28" i="55"/>
  <c r="H28" i="55"/>
  <c r="AD76" i="50"/>
  <c r="J29" i="55" l="1"/>
  <c r="I29" i="55"/>
  <c r="H29" i="55"/>
  <c r="AD86" i="50" l="1"/>
  <c r="AD89" i="50" l="1"/>
  <c r="XFD63" i="50" l="1"/>
  <c r="AD81" i="50" l="1"/>
  <c r="G29" i="55"/>
  <c r="E10" i="59" l="1"/>
  <c r="D69" i="50" l="1"/>
  <c r="F29" i="55"/>
  <c r="AE29" i="55" s="1"/>
  <c r="D65" i="50" l="1"/>
  <c r="D22" i="50"/>
  <c r="D68" i="50" s="1"/>
  <c r="G21" i="50"/>
  <c r="K21" i="50"/>
  <c r="H22" i="50"/>
  <c r="I22" i="50"/>
  <c r="I68" i="50" s="1"/>
  <c r="I21" i="50"/>
  <c r="J21" i="50"/>
  <c r="M22" i="50"/>
  <c r="M68" i="50" s="1"/>
  <c r="E22" i="50"/>
  <c r="H21" i="50"/>
  <c r="M21" i="50"/>
  <c r="L22" i="50"/>
  <c r="L68" i="50" s="1"/>
  <c r="K22" i="50"/>
  <c r="K68" i="50" s="1"/>
  <c r="L21" i="50"/>
  <c r="J22" i="50"/>
  <c r="J68" i="50" s="1"/>
  <c r="G22" i="50"/>
  <c r="F22" i="50"/>
  <c r="F21" i="50"/>
  <c r="E21" i="50"/>
  <c r="F27" i="55"/>
  <c r="AE27" i="55" s="1"/>
  <c r="XFD69" i="50"/>
  <c r="D15" i="50"/>
  <c r="F15" i="50"/>
  <c r="F14" i="50"/>
  <c r="G14" i="50"/>
  <c r="D14" i="50"/>
  <c r="H15" i="50"/>
  <c r="E14" i="50"/>
  <c r="H14" i="50"/>
  <c r="G15" i="50"/>
  <c r="E15" i="50"/>
  <c r="F68" i="50" l="1"/>
  <c r="H32" i="55" s="1"/>
  <c r="E68" i="50"/>
  <c r="G32" i="55" s="1"/>
  <c r="G68" i="50"/>
  <c r="I32" i="55" s="1"/>
  <c r="H68" i="50"/>
  <c r="J32" i="55" s="1"/>
  <c r="E23" i="50"/>
  <c r="H23" i="50"/>
  <c r="D23" i="50"/>
  <c r="L23" i="50"/>
  <c r="L30" i="50" s="1"/>
  <c r="L56" i="50" s="1"/>
  <c r="L28" i="50"/>
  <c r="K29" i="50"/>
  <c r="I23" i="50"/>
  <c r="I30" i="50" s="1"/>
  <c r="I56" i="50" s="1"/>
  <c r="I28" i="50"/>
  <c r="XFD67" i="50"/>
  <c r="F31" i="55"/>
  <c r="AE31" i="55" s="1"/>
  <c r="L29" i="50"/>
  <c r="I29" i="50"/>
  <c r="M28" i="50"/>
  <c r="M23" i="50"/>
  <c r="M30" i="50" s="1"/>
  <c r="M56" i="50" s="1"/>
  <c r="F23" i="50"/>
  <c r="K23" i="50"/>
  <c r="K30" i="50" s="1"/>
  <c r="K56" i="50" s="1"/>
  <c r="K28" i="50"/>
  <c r="G23" i="50"/>
  <c r="M29" i="50"/>
  <c r="D24" i="50"/>
  <c r="E24" i="50" s="1"/>
  <c r="F24" i="50" s="1"/>
  <c r="G24" i="50" s="1"/>
  <c r="H24" i="50" s="1"/>
  <c r="I24" i="50" s="1"/>
  <c r="J24" i="50" s="1"/>
  <c r="K24" i="50" s="1"/>
  <c r="L24" i="50" s="1"/>
  <c r="M24" i="50" s="1"/>
  <c r="J29" i="50"/>
  <c r="J23" i="50"/>
  <c r="J30" i="50" s="1"/>
  <c r="J56" i="50" s="1"/>
  <c r="J28" i="50"/>
  <c r="XFD65" i="50"/>
  <c r="F23" i="55"/>
  <c r="F22" i="55" s="1"/>
  <c r="F56" i="55" s="1"/>
  <c r="F16" i="50"/>
  <c r="F28" i="50"/>
  <c r="E71" i="50"/>
  <c r="E29" i="50"/>
  <c r="XFD72" i="50"/>
  <c r="F28" i="55"/>
  <c r="G71" i="50"/>
  <c r="G29" i="50"/>
  <c r="F29" i="50"/>
  <c r="F71" i="50"/>
  <c r="H16" i="50"/>
  <c r="H28" i="50"/>
  <c r="D71" i="50"/>
  <c r="D29" i="50"/>
  <c r="E16" i="50"/>
  <c r="E28" i="50"/>
  <c r="D17" i="50"/>
  <c r="H29" i="50"/>
  <c r="H71" i="50"/>
  <c r="D16" i="50"/>
  <c r="D28" i="50"/>
  <c r="G16" i="50"/>
  <c r="G28" i="50"/>
  <c r="E30" i="50" l="1"/>
  <c r="E56" i="50" s="1"/>
  <c r="H30" i="50"/>
  <c r="H56" i="50" s="1"/>
  <c r="H82" i="50" s="1"/>
  <c r="D30" i="50"/>
  <c r="D56" i="50" s="1"/>
  <c r="F20" i="55" s="1"/>
  <c r="F30" i="50"/>
  <c r="F56" i="50" s="1"/>
  <c r="H20" i="55" s="1"/>
  <c r="G30" i="50"/>
  <c r="G56" i="50" s="1"/>
  <c r="I20" i="55" s="1"/>
  <c r="M82" i="50"/>
  <c r="O20" i="55"/>
  <c r="F32" i="55"/>
  <c r="XFD68" i="50"/>
  <c r="G56" i="55"/>
  <c r="H56" i="55" s="1"/>
  <c r="F70" i="55"/>
  <c r="I66" i="50"/>
  <c r="K32" i="55"/>
  <c r="K26" i="55" s="1"/>
  <c r="K20" i="55"/>
  <c r="I82" i="50"/>
  <c r="O32" i="55"/>
  <c r="O26" i="55" s="1"/>
  <c r="M66" i="50"/>
  <c r="L66" i="50"/>
  <c r="N32" i="55"/>
  <c r="N26" i="55" s="1"/>
  <c r="M32" i="55"/>
  <c r="M26" i="55" s="1"/>
  <c r="K66" i="50"/>
  <c r="J82" i="50"/>
  <c r="L20" i="55"/>
  <c r="J66" i="50"/>
  <c r="L32" i="55"/>
  <c r="L26" i="55" s="1"/>
  <c r="M20" i="55"/>
  <c r="K82" i="50"/>
  <c r="L82" i="50"/>
  <c r="N20" i="55"/>
  <c r="H30" i="55"/>
  <c r="H26" i="55" s="1"/>
  <c r="F66" i="50"/>
  <c r="XFD71" i="50"/>
  <c r="F30" i="55"/>
  <c r="D66" i="50"/>
  <c r="I30" i="55"/>
  <c r="I26" i="55" s="1"/>
  <c r="G66" i="50"/>
  <c r="E17" i="50"/>
  <c r="D31" i="50"/>
  <c r="AE28" i="55"/>
  <c r="J30" i="55"/>
  <c r="J26" i="55" s="1"/>
  <c r="H66" i="50"/>
  <c r="G20" i="55"/>
  <c r="E82" i="50"/>
  <c r="G30" i="55"/>
  <c r="G26" i="55" s="1"/>
  <c r="E66" i="50"/>
  <c r="D82" i="50" l="1"/>
  <c r="D83" i="50" s="1"/>
  <c r="F82" i="50"/>
  <c r="J20" i="55"/>
  <c r="AE20" i="55" s="1"/>
  <c r="G82" i="50"/>
  <c r="F26" i="55"/>
  <c r="AE32" i="55"/>
  <c r="D84" i="50"/>
  <c r="E84" i="50"/>
  <c r="XFD66" i="50"/>
  <c r="AE30" i="55"/>
  <c r="F17" i="50"/>
  <c r="E31" i="50"/>
  <c r="F31" i="50" l="1"/>
  <c r="G17" i="50"/>
  <c r="H17" i="50" l="1"/>
  <c r="G31" i="50"/>
  <c r="I17" i="50" l="1"/>
  <c r="H31" i="50"/>
  <c r="J17" i="50" l="1"/>
  <c r="I31" i="50"/>
  <c r="K17" i="50" l="1"/>
  <c r="J31" i="50"/>
  <c r="L17" i="50" l="1"/>
  <c r="K31" i="50"/>
  <c r="L31" i="50" l="1"/>
  <c r="M17" i="50"/>
  <c r="M31" i="50" l="1"/>
  <c r="AC5" i="55" l="1"/>
  <c r="R5" i="55"/>
  <c r="P5" i="55"/>
  <c r="V5" i="55"/>
  <c r="AD5" i="55"/>
  <c r="T5" i="55"/>
  <c r="X5" i="55"/>
  <c r="Q5" i="55"/>
  <c r="Y5" i="55"/>
  <c r="S5" i="55"/>
  <c r="AA5" i="55"/>
  <c r="U5" i="55"/>
  <c r="Z5" i="55"/>
  <c r="W5" i="55"/>
  <c r="AB5" i="55"/>
  <c r="D39" i="50"/>
  <c r="D21" i="14" l="1"/>
  <c r="AB50" i="50"/>
  <c r="AB51" i="50" s="1"/>
  <c r="F7" i="55"/>
  <c r="F5" i="55"/>
  <c r="R50" i="50" l="1"/>
  <c r="R51" i="50" s="1"/>
  <c r="S50" i="50"/>
  <c r="S51" i="50" s="1"/>
  <c r="Q50" i="50"/>
  <c r="Q51" i="50" s="1"/>
  <c r="U50" i="50"/>
  <c r="U51" i="50" s="1"/>
  <c r="W50" i="50"/>
  <c r="W51" i="50" s="1"/>
  <c r="V50" i="50"/>
  <c r="V51" i="50" s="1"/>
  <c r="AA50" i="50"/>
  <c r="AA51" i="50" s="1"/>
  <c r="P50" i="50"/>
  <c r="P51" i="50" s="1"/>
  <c r="Z50" i="50"/>
  <c r="Z51" i="50" s="1"/>
  <c r="Y50" i="50"/>
  <c r="Y51" i="50" s="1"/>
  <c r="N50" i="50"/>
  <c r="N51" i="50" s="1"/>
  <c r="X50" i="50"/>
  <c r="X51" i="50" s="1"/>
  <c r="T50" i="50"/>
  <c r="T51" i="50" s="1"/>
  <c r="O50" i="50"/>
  <c r="O51" i="50" s="1"/>
  <c r="D50" i="50"/>
  <c r="D51" i="50" s="1"/>
  <c r="F6" i="55" l="1"/>
  <c r="D53" i="50"/>
  <c r="D55" i="50" s="1"/>
  <c r="L5" i="55" l="1"/>
  <c r="D78" i="50"/>
  <c r="D79" i="50" s="1"/>
  <c r="D80" i="50" s="1"/>
  <c r="D57" i="50"/>
  <c r="D87" i="50" s="1"/>
  <c r="J50" i="50" l="1"/>
  <c r="J51" i="50" s="1"/>
  <c r="I5" i="55"/>
  <c r="J5" i="55"/>
  <c r="K5" i="55"/>
  <c r="E23" i="59"/>
  <c r="G5" i="55"/>
  <c r="H5" i="55"/>
  <c r="M5" i="55"/>
  <c r="N5" i="55"/>
  <c r="O5" i="55"/>
  <c r="D97" i="50"/>
  <c r="D98" i="50" s="1"/>
  <c r="D99" i="50" s="1"/>
  <c r="D85" i="50"/>
  <c r="G50" i="50" l="1"/>
  <c r="G51" i="50" s="1"/>
  <c r="H50" i="50"/>
  <c r="H51" i="50" s="1"/>
  <c r="E50" i="50"/>
  <c r="E51" i="50" s="1"/>
  <c r="L50" i="50"/>
  <c r="L51" i="50" s="1"/>
  <c r="K50" i="50"/>
  <c r="K51" i="50" s="1"/>
  <c r="M50" i="50"/>
  <c r="M51" i="50" s="1"/>
  <c r="F50" i="50"/>
  <c r="F51" i="50" s="1"/>
  <c r="I50" i="50"/>
  <c r="I51" i="50" s="1"/>
  <c r="D100" i="50"/>
  <c r="E96" i="50" s="1"/>
  <c r="AE5" i="55"/>
  <c r="D88" i="50"/>
  <c r="D93" i="50" l="1"/>
  <c r="D94" i="50"/>
  <c r="D91" i="50" l="1"/>
  <c r="D92" i="50" s="1"/>
  <c r="G6" i="55"/>
  <c r="G7" i="55"/>
  <c r="E53" i="50" l="1"/>
  <c r="D64" i="50"/>
  <c r="D73" i="50" s="1"/>
  <c r="D74" i="50" s="1"/>
  <c r="D58" i="50"/>
  <c r="D60" i="50" s="1"/>
  <c r="D61" i="50" s="1"/>
  <c r="F19" i="55"/>
  <c r="F9" i="55" s="1"/>
  <c r="F4" i="55" s="1"/>
  <c r="F35" i="55" s="1"/>
  <c r="H6" i="55"/>
  <c r="H7" i="55"/>
  <c r="I6" i="55" l="1"/>
  <c r="F53" i="50"/>
  <c r="F55" i="50" s="1"/>
  <c r="E55" i="50"/>
  <c r="F36" i="55"/>
  <c r="F42" i="55" s="1"/>
  <c r="F41" i="55"/>
  <c r="I7" i="55"/>
  <c r="G53" i="50" l="1"/>
  <c r="G55" i="50" s="1"/>
  <c r="F37" i="55"/>
  <c r="F78" i="50"/>
  <c r="F79" i="50" s="1"/>
  <c r="F80" i="50" s="1"/>
  <c r="F57" i="50"/>
  <c r="F87" i="50" s="1"/>
  <c r="F47" i="55"/>
  <c r="F48" i="55" s="1"/>
  <c r="F57" i="55"/>
  <c r="E78" i="50"/>
  <c r="E79" i="50" s="1"/>
  <c r="E80" i="50" s="1"/>
  <c r="E57" i="50"/>
  <c r="E87" i="50" s="1"/>
  <c r="J7" i="55"/>
  <c r="J6" i="55" l="1"/>
  <c r="K6" i="55"/>
  <c r="K7" i="55"/>
  <c r="G78" i="50"/>
  <c r="G79" i="50" s="1"/>
  <c r="G80" i="50" s="1"/>
  <c r="G57" i="50"/>
  <c r="G87" i="50" s="1"/>
  <c r="E97" i="50"/>
  <c r="E98" i="50" s="1"/>
  <c r="E99" i="50" s="1"/>
  <c r="E100" i="50" s="1"/>
  <c r="F97" i="50"/>
  <c r="E85" i="50"/>
  <c r="G57" i="55"/>
  <c r="H57" i="55" s="1"/>
  <c r="I53" i="50" l="1"/>
  <c r="I55" i="50" s="1"/>
  <c r="H53" i="50"/>
  <c r="L7" i="55"/>
  <c r="G97" i="50"/>
  <c r="E83" i="50"/>
  <c r="F84" i="50" s="1"/>
  <c r="F85" i="50" s="1"/>
  <c r="F96" i="50"/>
  <c r="F98" i="50" s="1"/>
  <c r="F99" i="50" s="1"/>
  <c r="F100" i="50" s="1"/>
  <c r="E88" i="50"/>
  <c r="L6" i="55" l="1"/>
  <c r="E94" i="50"/>
  <c r="E93" i="50"/>
  <c r="H55" i="50"/>
  <c r="F83" i="50"/>
  <c r="F88" i="50"/>
  <c r="F94" i="50" s="1"/>
  <c r="G96" i="50"/>
  <c r="G98" i="50" s="1"/>
  <c r="G99" i="50" s="1"/>
  <c r="G100" i="50" s="1"/>
  <c r="M7" i="55"/>
  <c r="I57" i="50"/>
  <c r="I87" i="50" s="1"/>
  <c r="I97" i="50" s="1"/>
  <c r="I78" i="50"/>
  <c r="I79" i="50" s="1"/>
  <c r="I80" i="50" s="1"/>
  <c r="J53" i="50" l="1"/>
  <c r="J55" i="50" s="1"/>
  <c r="K53" i="50"/>
  <c r="K55" i="50" s="1"/>
  <c r="N6" i="55"/>
  <c r="E91" i="50"/>
  <c r="E58" i="50" s="1"/>
  <c r="E60" i="50" s="1"/>
  <c r="F93" i="50"/>
  <c r="F91" i="50" s="1"/>
  <c r="F64" i="50" s="1"/>
  <c r="F73" i="50" s="1"/>
  <c r="G84" i="50"/>
  <c r="G85" i="50" s="1"/>
  <c r="G83" i="50" s="1"/>
  <c r="H96" i="50"/>
  <c r="H78" i="50"/>
  <c r="H79" i="50" s="1"/>
  <c r="H80" i="50" s="1"/>
  <c r="H57" i="50"/>
  <c r="H87" i="50" s="1"/>
  <c r="C87" i="50" s="1"/>
  <c r="N7" i="55"/>
  <c r="L53" i="50"/>
  <c r="E64" i="50" l="1"/>
  <c r="E73" i="50" s="1"/>
  <c r="E74" i="50" s="1"/>
  <c r="G19" i="55"/>
  <c r="G9" i="55" s="1"/>
  <c r="G4" i="55" s="1"/>
  <c r="G35" i="55" s="1"/>
  <c r="M6" i="55"/>
  <c r="F58" i="50"/>
  <c r="F60" i="50" s="1"/>
  <c r="F61" i="50" s="1"/>
  <c r="F92" i="50"/>
  <c r="H19" i="55"/>
  <c r="H9" i="55" s="1"/>
  <c r="H4" i="55" s="1"/>
  <c r="H35" i="55" s="1"/>
  <c r="H41" i="55" s="1"/>
  <c r="F59" i="55" s="1"/>
  <c r="G59" i="55" s="1"/>
  <c r="E92" i="50"/>
  <c r="H84" i="50"/>
  <c r="H85" i="50" s="1"/>
  <c r="H88" i="50" s="1"/>
  <c r="H94" i="50" s="1"/>
  <c r="L55" i="50"/>
  <c r="E61" i="50"/>
  <c r="J57" i="50"/>
  <c r="J87" i="50" s="1"/>
  <c r="J97" i="50" s="1"/>
  <c r="J78" i="50"/>
  <c r="J79" i="50" s="1"/>
  <c r="J80" i="50" s="1"/>
  <c r="K57" i="50"/>
  <c r="K87" i="50" s="1"/>
  <c r="K97" i="50" s="1"/>
  <c r="K78" i="50"/>
  <c r="K79" i="50" s="1"/>
  <c r="K80" i="50" s="1"/>
  <c r="O7" i="55"/>
  <c r="H97" i="50"/>
  <c r="H98" i="50" s="1"/>
  <c r="H99" i="50" s="1"/>
  <c r="H100" i="50" s="1"/>
  <c r="G88" i="50"/>
  <c r="E28" i="59" l="1"/>
  <c r="H47" i="55"/>
  <c r="P6" i="55"/>
  <c r="I96" i="50"/>
  <c r="I98" i="50" s="1"/>
  <c r="I99" i="50" s="1"/>
  <c r="I100" i="50" s="1"/>
  <c r="H93" i="50"/>
  <c r="H91" i="50" s="1"/>
  <c r="G94" i="50"/>
  <c r="G93" i="50"/>
  <c r="C88" i="50"/>
  <c r="C89" i="50" s="1"/>
  <c r="F74" i="50"/>
  <c r="G41" i="55"/>
  <c r="G36" i="55"/>
  <c r="G42" i="55" s="1"/>
  <c r="H36" i="55"/>
  <c r="H42" i="55" s="1"/>
  <c r="L57" i="50"/>
  <c r="L87" i="50" s="1"/>
  <c r="L97" i="50" s="1"/>
  <c r="L78" i="50"/>
  <c r="L79" i="50" s="1"/>
  <c r="L80" i="50" s="1"/>
  <c r="P7" i="55"/>
  <c r="H83" i="50"/>
  <c r="N53" i="50" l="1"/>
  <c r="N55" i="50" s="1"/>
  <c r="O6" i="55"/>
  <c r="O53" i="50"/>
  <c r="G37" i="55"/>
  <c r="G91" i="50"/>
  <c r="G58" i="50" s="1"/>
  <c r="G60" i="50" s="1"/>
  <c r="M53" i="50"/>
  <c r="E24" i="59"/>
  <c r="F24" i="59" s="1"/>
  <c r="Q7" i="55"/>
  <c r="I84" i="50"/>
  <c r="I85" i="50" s="1"/>
  <c r="I83" i="50" s="1"/>
  <c r="F58" i="55"/>
  <c r="G47" i="55"/>
  <c r="G48" i="55" s="1"/>
  <c r="H48" i="55" s="1"/>
  <c r="G43" i="55"/>
  <c r="H43" i="55"/>
  <c r="H58" i="50"/>
  <c r="H60" i="50" s="1"/>
  <c r="H61" i="50" s="1"/>
  <c r="H92" i="50"/>
  <c r="J19" i="55"/>
  <c r="J9" i="55" s="1"/>
  <c r="J4" i="55" s="1"/>
  <c r="J35" i="55" s="1"/>
  <c r="J41" i="55" s="1"/>
  <c r="H64" i="50"/>
  <c r="H73" i="50" s="1"/>
  <c r="H37" i="55"/>
  <c r="J96" i="50"/>
  <c r="J98" i="50" s="1"/>
  <c r="J99" i="50" s="1"/>
  <c r="J100" i="50" s="1"/>
  <c r="G64" i="50" l="1"/>
  <c r="G73" i="50" s="1"/>
  <c r="G74" i="50" s="1"/>
  <c r="Q6" i="55"/>
  <c r="G92" i="50"/>
  <c r="I19" i="55"/>
  <c r="I9" i="55" s="1"/>
  <c r="I4" i="55" s="1"/>
  <c r="I35" i="55" s="1"/>
  <c r="J84" i="50"/>
  <c r="J85" i="50" s="1"/>
  <c r="J88" i="50" s="1"/>
  <c r="J94" i="50" s="1"/>
  <c r="G58" i="55"/>
  <c r="H58" i="55" s="1"/>
  <c r="H59" i="55" s="1"/>
  <c r="N78" i="50"/>
  <c r="N79" i="50" s="1"/>
  <c r="N80" i="50" s="1"/>
  <c r="N57" i="50"/>
  <c r="N87" i="50" s="1"/>
  <c r="N97" i="50" s="1"/>
  <c r="I88" i="50"/>
  <c r="G61" i="50"/>
  <c r="E29" i="59"/>
  <c r="O55" i="50"/>
  <c r="J47" i="55"/>
  <c r="F61" i="55"/>
  <c r="G61" i="55" s="1"/>
  <c r="K96" i="50"/>
  <c r="K98" i="50" s="1"/>
  <c r="K99" i="50" s="1"/>
  <c r="K100" i="50" s="1"/>
  <c r="R7" i="55"/>
  <c r="M55" i="50"/>
  <c r="E25" i="59"/>
  <c r="F25" i="59" s="1"/>
  <c r="R6" i="55" l="1"/>
  <c r="Q53" i="50"/>
  <c r="J93" i="50"/>
  <c r="J91" i="50" s="1"/>
  <c r="L19" i="55" s="1"/>
  <c r="L9" i="55" s="1"/>
  <c r="L4" i="55" s="1"/>
  <c r="L35" i="55" s="1"/>
  <c r="L41" i="55" s="1"/>
  <c r="I41" i="55"/>
  <c r="I36" i="55"/>
  <c r="I42" i="55" s="1"/>
  <c r="J36" i="55"/>
  <c r="J42" i="55" s="1"/>
  <c r="O57" i="50"/>
  <c r="O87" i="50" s="1"/>
  <c r="O97" i="50" s="1"/>
  <c r="O78" i="50"/>
  <c r="O79" i="50" s="1"/>
  <c r="O80" i="50" s="1"/>
  <c r="L96" i="50"/>
  <c r="L98" i="50" s="1"/>
  <c r="L99" i="50" s="1"/>
  <c r="L100" i="50" s="1"/>
  <c r="I94" i="50"/>
  <c r="I93" i="50"/>
  <c r="S7" i="55"/>
  <c r="H74" i="50"/>
  <c r="J83" i="50"/>
  <c r="M78" i="50"/>
  <c r="M79" i="50" s="1"/>
  <c r="M80" i="50" s="1"/>
  <c r="M57" i="50"/>
  <c r="M87" i="50" s="1"/>
  <c r="M97" i="50" s="1"/>
  <c r="E26" i="59"/>
  <c r="F26" i="59" s="1"/>
  <c r="P53" i="50" l="1"/>
  <c r="P55" i="50" s="1"/>
  <c r="S6" i="55"/>
  <c r="R53" i="50"/>
  <c r="J64" i="50"/>
  <c r="J73" i="50" s="1"/>
  <c r="J92" i="50"/>
  <c r="J58" i="50"/>
  <c r="J60" i="50" s="1"/>
  <c r="J61" i="50" s="1"/>
  <c r="I91" i="50"/>
  <c r="I92" i="50" s="1"/>
  <c r="J37" i="55"/>
  <c r="T7" i="55"/>
  <c r="M96" i="50"/>
  <c r="M98" i="50" s="1"/>
  <c r="M99" i="50" s="1"/>
  <c r="M100" i="50" s="1"/>
  <c r="L47" i="55"/>
  <c r="F63" i="55"/>
  <c r="G63" i="55" s="1"/>
  <c r="F60" i="55"/>
  <c r="I43" i="55"/>
  <c r="I47" i="55"/>
  <c r="I48" i="55" s="1"/>
  <c r="J48" i="55" s="1"/>
  <c r="J43" i="55"/>
  <c r="K84" i="50"/>
  <c r="K85" i="50" s="1"/>
  <c r="K88" i="50" s="1"/>
  <c r="Q55" i="50"/>
  <c r="I37" i="55"/>
  <c r="U6" i="55" l="1"/>
  <c r="T6" i="55"/>
  <c r="I64" i="50"/>
  <c r="I73" i="50" s="1"/>
  <c r="I74" i="50" s="1"/>
  <c r="K19" i="55"/>
  <c r="K9" i="55" s="1"/>
  <c r="K4" i="55" s="1"/>
  <c r="K35" i="55" s="1"/>
  <c r="I58" i="50"/>
  <c r="I60" i="50" s="1"/>
  <c r="I61" i="50" s="1"/>
  <c r="U7" i="55"/>
  <c r="S53" i="50"/>
  <c r="N96" i="50"/>
  <c r="N98" i="50" s="1"/>
  <c r="N99" i="50" s="1"/>
  <c r="N100" i="50" s="1"/>
  <c r="K83" i="50"/>
  <c r="K94" i="50"/>
  <c r="K93" i="50"/>
  <c r="R55" i="50"/>
  <c r="Q57" i="50"/>
  <c r="Q87" i="50" s="1"/>
  <c r="Q97" i="50" s="1"/>
  <c r="Q78" i="50"/>
  <c r="Q79" i="50" s="1"/>
  <c r="Q80" i="50" s="1"/>
  <c r="P78" i="50"/>
  <c r="P79" i="50" s="1"/>
  <c r="P80" i="50" s="1"/>
  <c r="P57" i="50"/>
  <c r="P87" i="50" s="1"/>
  <c r="P97" i="50" s="1"/>
  <c r="G60" i="55"/>
  <c r="H60" i="55" s="1"/>
  <c r="H61" i="55" s="1"/>
  <c r="V6" i="55" l="1"/>
  <c r="K91" i="50"/>
  <c r="M19" i="55" s="1"/>
  <c r="J74" i="50"/>
  <c r="S55" i="50"/>
  <c r="V7" i="55"/>
  <c r="K41" i="55"/>
  <c r="K36" i="55"/>
  <c r="K42" i="55" s="1"/>
  <c r="L36" i="55"/>
  <c r="L42" i="55" s="1"/>
  <c r="R57" i="50"/>
  <c r="R87" i="50" s="1"/>
  <c r="R97" i="50" s="1"/>
  <c r="R78" i="50"/>
  <c r="R79" i="50" s="1"/>
  <c r="R80" i="50" s="1"/>
  <c r="L84" i="50"/>
  <c r="L85" i="50" s="1"/>
  <c r="L88" i="50" s="1"/>
  <c r="O96" i="50"/>
  <c r="O98" i="50" s="1"/>
  <c r="O99" i="50" s="1"/>
  <c r="O100" i="50" s="1"/>
  <c r="K64" i="50" l="1"/>
  <c r="K58" i="50"/>
  <c r="K60" i="50" s="1"/>
  <c r="K61" i="50" s="1"/>
  <c r="K92" i="50"/>
  <c r="T53" i="50"/>
  <c r="T55" i="50" s="1"/>
  <c r="W6" i="55"/>
  <c r="L83" i="50"/>
  <c r="M84" i="50" s="1"/>
  <c r="M85" i="50" s="1"/>
  <c r="M88" i="50" s="1"/>
  <c r="S57" i="50"/>
  <c r="S87" i="50" s="1"/>
  <c r="S97" i="50" s="1"/>
  <c r="S78" i="50"/>
  <c r="S79" i="50" s="1"/>
  <c r="S80" i="50" s="1"/>
  <c r="K43" i="55"/>
  <c r="K47" i="55"/>
  <c r="K48" i="55" s="1"/>
  <c r="L48" i="55" s="1"/>
  <c r="F62" i="55"/>
  <c r="L43" i="55"/>
  <c r="K73" i="50"/>
  <c r="K74" i="50" s="1"/>
  <c r="L94" i="50"/>
  <c r="L93" i="50"/>
  <c r="P96" i="50"/>
  <c r="P98" i="50" s="1"/>
  <c r="P99" i="50" s="1"/>
  <c r="P100" i="50" s="1"/>
  <c r="W7" i="55"/>
  <c r="M9" i="55"/>
  <c r="M4" i="55" s="1"/>
  <c r="M35" i="55" s="1"/>
  <c r="L37" i="55"/>
  <c r="K37" i="55"/>
  <c r="U53" i="50" l="1"/>
  <c r="U55" i="50" s="1"/>
  <c r="X6" i="55"/>
  <c r="L91" i="50"/>
  <c r="L92" i="50" s="1"/>
  <c r="M94" i="50"/>
  <c r="M93" i="50"/>
  <c r="G62" i="55"/>
  <c r="H62" i="55" s="1"/>
  <c r="H63" i="55" s="1"/>
  <c r="M41" i="55"/>
  <c r="M36" i="55"/>
  <c r="M42" i="55" s="1"/>
  <c r="M83" i="50"/>
  <c r="T57" i="50"/>
  <c r="T87" i="50" s="1"/>
  <c r="T97" i="50" s="1"/>
  <c r="T78" i="50"/>
  <c r="T79" i="50" s="1"/>
  <c r="T80" i="50" s="1"/>
  <c r="X7" i="55"/>
  <c r="V53" i="50"/>
  <c r="Q96" i="50"/>
  <c r="Q98" i="50" s="1"/>
  <c r="Q99" i="50" s="1"/>
  <c r="Q100" i="50" s="1"/>
  <c r="N19" i="55" l="1"/>
  <c r="N9" i="55" s="1"/>
  <c r="N4" i="55" s="1"/>
  <c r="N35" i="55" s="1"/>
  <c r="N41" i="55" s="1"/>
  <c r="N47" i="55" s="1"/>
  <c r="Y6" i="55"/>
  <c r="L58" i="50"/>
  <c r="L60" i="50" s="1"/>
  <c r="L61" i="50" s="1"/>
  <c r="L64" i="50"/>
  <c r="L73" i="50" s="1"/>
  <c r="L74" i="50" s="1"/>
  <c r="M91" i="50"/>
  <c r="O19" i="55" s="1"/>
  <c r="O9" i="55" s="1"/>
  <c r="O4" i="55" s="1"/>
  <c r="O35" i="55" s="1"/>
  <c r="N84" i="50"/>
  <c r="N85" i="50" s="1"/>
  <c r="N88" i="50" s="1"/>
  <c r="Y7" i="55"/>
  <c r="W53" i="50"/>
  <c r="V55" i="50"/>
  <c r="M43" i="55"/>
  <c r="M47" i="55"/>
  <c r="M48" i="55" s="1"/>
  <c r="F64" i="55"/>
  <c r="U78" i="50"/>
  <c r="U79" i="50" s="1"/>
  <c r="U80" i="50" s="1"/>
  <c r="U57" i="50"/>
  <c r="U87" i="50" s="1"/>
  <c r="U97" i="50" s="1"/>
  <c r="R96" i="50"/>
  <c r="R98" i="50" s="1"/>
  <c r="R99" i="50" s="1"/>
  <c r="R100" i="50" s="1"/>
  <c r="M37" i="55"/>
  <c r="N36" i="55" l="1"/>
  <c r="N42" i="55" s="1"/>
  <c r="N43" i="55"/>
  <c r="F65" i="55"/>
  <c r="G65" i="55" s="1"/>
  <c r="M58" i="50"/>
  <c r="M60" i="50" s="1"/>
  <c r="E30" i="59" s="1"/>
  <c r="M64" i="50"/>
  <c r="M73" i="50" s="1"/>
  <c r="M74" i="50" s="1"/>
  <c r="Z6" i="55"/>
  <c r="M92" i="50"/>
  <c r="N83" i="50"/>
  <c r="N94" i="50"/>
  <c r="N93" i="50"/>
  <c r="N48" i="55"/>
  <c r="O41" i="55"/>
  <c r="O36" i="55"/>
  <c r="O42" i="55" s="1"/>
  <c r="G64" i="55"/>
  <c r="H64" i="55" s="1"/>
  <c r="Z7" i="55"/>
  <c r="V57" i="50"/>
  <c r="V87" i="50" s="1"/>
  <c r="V97" i="50" s="1"/>
  <c r="V78" i="50"/>
  <c r="V79" i="50" s="1"/>
  <c r="V80" i="50" s="1"/>
  <c r="S96" i="50"/>
  <c r="S98" i="50" s="1"/>
  <c r="S99" i="50" s="1"/>
  <c r="S100" i="50" s="1"/>
  <c r="W55" i="50"/>
  <c r="N37" i="55" l="1"/>
  <c r="H65" i="55"/>
  <c r="E27" i="59"/>
  <c r="F27" i="59" s="1"/>
  <c r="M61" i="50"/>
  <c r="X53" i="50"/>
  <c r="X55" i="50" s="1"/>
  <c r="AA6" i="55"/>
  <c r="N91" i="50"/>
  <c r="N58" i="50" s="1"/>
  <c r="N60" i="50" s="1"/>
  <c r="N61" i="50" s="1"/>
  <c r="AA7" i="55"/>
  <c r="W78" i="50"/>
  <c r="W79" i="50" s="1"/>
  <c r="W80" i="50" s="1"/>
  <c r="W57" i="50"/>
  <c r="W87" i="50" s="1"/>
  <c r="W97" i="50" s="1"/>
  <c r="T96" i="50"/>
  <c r="T98" i="50" s="1"/>
  <c r="T99" i="50" s="1"/>
  <c r="T100" i="50" s="1"/>
  <c r="O84" i="50"/>
  <c r="O85" i="50" s="1"/>
  <c r="O88" i="50" s="1"/>
  <c r="O47" i="55"/>
  <c r="O48" i="55" s="1"/>
  <c r="O43" i="55"/>
  <c r="F66" i="55"/>
  <c r="F69" i="55" s="1"/>
  <c r="O37" i="55"/>
  <c r="Y53" i="50" l="1"/>
  <c r="Y55" i="50" s="1"/>
  <c r="AB6" i="55"/>
  <c r="N64" i="50"/>
  <c r="N73" i="50" s="1"/>
  <c r="N74" i="50" s="1"/>
  <c r="P19" i="55"/>
  <c r="P9" i="55" s="1"/>
  <c r="P4" i="55" s="1"/>
  <c r="P35" i="55" s="1"/>
  <c r="P41" i="55" s="1"/>
  <c r="N92" i="50"/>
  <c r="AB7" i="55"/>
  <c r="G66" i="55"/>
  <c r="H66" i="55" s="1"/>
  <c r="F68" i="55"/>
  <c r="E20" i="59" s="1"/>
  <c r="O83" i="50"/>
  <c r="X57" i="50"/>
  <c r="X87" i="50" s="1"/>
  <c r="X97" i="50" s="1"/>
  <c r="X78" i="50"/>
  <c r="X79" i="50" s="1"/>
  <c r="X80" i="50" s="1"/>
  <c r="O94" i="50"/>
  <c r="O93" i="50"/>
  <c r="U96" i="50"/>
  <c r="U98" i="50" s="1"/>
  <c r="U99" i="50" s="1"/>
  <c r="U100" i="50" s="1"/>
  <c r="AC6" i="55" l="1"/>
  <c r="Z53" i="50"/>
  <c r="Z55" i="50" s="1"/>
  <c r="P36" i="55"/>
  <c r="P42" i="55" s="1"/>
  <c r="O91" i="50"/>
  <c r="O92" i="50" s="1"/>
  <c r="P43" i="55"/>
  <c r="P47" i="55"/>
  <c r="P48" i="55" s="1"/>
  <c r="P84" i="50"/>
  <c r="P85" i="50" s="1"/>
  <c r="P88" i="50" s="1"/>
  <c r="Y57" i="50"/>
  <c r="Y87" i="50" s="1"/>
  <c r="Y97" i="50" s="1"/>
  <c r="Y78" i="50"/>
  <c r="Y79" i="50" s="1"/>
  <c r="Y80" i="50" s="1"/>
  <c r="F72" i="55"/>
  <c r="E21" i="59" s="1"/>
  <c r="F71" i="55"/>
  <c r="E22" i="59" s="1"/>
  <c r="V96" i="50"/>
  <c r="V98" i="50" s="1"/>
  <c r="V99" i="50" s="1"/>
  <c r="V100" i="50" s="1"/>
  <c r="AC7" i="55"/>
  <c r="AA53" i="50"/>
  <c r="AD6" i="55" l="1"/>
  <c r="AE6" i="55" s="1"/>
  <c r="O64" i="50"/>
  <c r="O73" i="50" s="1"/>
  <c r="O74" i="50" s="1"/>
  <c r="P37" i="55"/>
  <c r="O58" i="50"/>
  <c r="O60" i="50" s="1"/>
  <c r="O61" i="50" s="1"/>
  <c r="Q19" i="55"/>
  <c r="Q9" i="55" s="1"/>
  <c r="Q4" i="55" s="1"/>
  <c r="Q35" i="55" s="1"/>
  <c r="Q41" i="55" s="1"/>
  <c r="AD7" i="55"/>
  <c r="AE7" i="55" s="1"/>
  <c r="AB53" i="50"/>
  <c r="W96" i="50"/>
  <c r="W98" i="50" s="1"/>
  <c r="W99" i="50" s="1"/>
  <c r="W100" i="50" s="1"/>
  <c r="P94" i="50"/>
  <c r="P93" i="50"/>
  <c r="AA55" i="50"/>
  <c r="Z57" i="50"/>
  <c r="Z87" i="50" s="1"/>
  <c r="Z97" i="50" s="1"/>
  <c r="Z78" i="50"/>
  <c r="Z79" i="50" s="1"/>
  <c r="Z80" i="50" s="1"/>
  <c r="P83" i="50"/>
  <c r="Q36" i="55" l="1"/>
  <c r="Q42" i="55" s="1"/>
  <c r="P91" i="50"/>
  <c r="P92" i="50" s="1"/>
  <c r="Q84" i="50"/>
  <c r="Q85" i="50" s="1"/>
  <c r="Q88" i="50" s="1"/>
  <c r="AA57" i="50"/>
  <c r="AA87" i="50" s="1"/>
  <c r="AA97" i="50" s="1"/>
  <c r="AA78" i="50"/>
  <c r="AA79" i="50" s="1"/>
  <c r="AA80" i="50" s="1"/>
  <c r="X96" i="50"/>
  <c r="X98" i="50" s="1"/>
  <c r="X99" i="50" s="1"/>
  <c r="X100" i="50" s="1"/>
  <c r="Q47" i="55"/>
  <c r="Q48" i="55" s="1"/>
  <c r="Q43" i="55"/>
  <c r="AB55" i="50"/>
  <c r="R19" i="55" l="1"/>
  <c r="R9" i="55" s="1"/>
  <c r="R4" i="55" s="1"/>
  <c r="R35" i="55" s="1"/>
  <c r="R41" i="55" s="1"/>
  <c r="Q37" i="55"/>
  <c r="P64" i="50"/>
  <c r="P73" i="50" s="1"/>
  <c r="P74" i="50" s="1"/>
  <c r="P58" i="50"/>
  <c r="P60" i="50" s="1"/>
  <c r="P61" i="50" s="1"/>
  <c r="Y96" i="50"/>
  <c r="Y98" i="50" s="1"/>
  <c r="Y99" i="50" s="1"/>
  <c r="Y100" i="50" s="1"/>
  <c r="AB78" i="50"/>
  <c r="AB79" i="50" s="1"/>
  <c r="AB80" i="50" s="1"/>
  <c r="AD80" i="50" s="1"/>
  <c r="AB57" i="50"/>
  <c r="AB87" i="50" s="1"/>
  <c r="AB97" i="50" s="1"/>
  <c r="Q83" i="50"/>
  <c r="Q94" i="50"/>
  <c r="Q93" i="50"/>
  <c r="R36" i="55" l="1"/>
  <c r="R42" i="55" s="1"/>
  <c r="Q91" i="50"/>
  <c r="Q64" i="50" s="1"/>
  <c r="Q73" i="50" s="1"/>
  <c r="Q74" i="50" s="1"/>
  <c r="R84" i="50"/>
  <c r="R85" i="50" s="1"/>
  <c r="R88" i="50" s="1"/>
  <c r="Z96" i="50"/>
  <c r="Z98" i="50" s="1"/>
  <c r="Z99" i="50" s="1"/>
  <c r="Z100" i="50" s="1"/>
  <c r="R43" i="55"/>
  <c r="R47" i="55"/>
  <c r="R48" i="55" s="1"/>
  <c r="R37" i="55" l="1"/>
  <c r="S19" i="55"/>
  <c r="S9" i="55" s="1"/>
  <c r="S4" i="55" s="1"/>
  <c r="S35" i="55" s="1"/>
  <c r="S41" i="55" s="1"/>
  <c r="Q92" i="50"/>
  <c r="Q58" i="50"/>
  <c r="Q60" i="50" s="1"/>
  <c r="Q61" i="50" s="1"/>
  <c r="AA96" i="50"/>
  <c r="AA98" i="50" s="1"/>
  <c r="AA99" i="50" s="1"/>
  <c r="AA100" i="50" s="1"/>
  <c r="R83" i="50"/>
  <c r="R94" i="50"/>
  <c r="R93" i="50"/>
  <c r="S36" i="55" l="1"/>
  <c r="S42" i="55" s="1"/>
  <c r="R91" i="50"/>
  <c r="T19" i="55" s="1"/>
  <c r="T9" i="55" s="1"/>
  <c r="T4" i="55" s="1"/>
  <c r="T35" i="55" s="1"/>
  <c r="S47" i="55"/>
  <c r="S48" i="55" s="1"/>
  <c r="S43" i="55"/>
  <c r="S84" i="50"/>
  <c r="S85" i="50" s="1"/>
  <c r="S88" i="50" s="1"/>
  <c r="AB96" i="50"/>
  <c r="AB98" i="50" s="1"/>
  <c r="AB99" i="50" s="1"/>
  <c r="AB100" i="50" s="1"/>
  <c r="S37" i="55" l="1"/>
  <c r="R64" i="50"/>
  <c r="R73" i="50" s="1"/>
  <c r="R74" i="50" s="1"/>
  <c r="R92" i="50"/>
  <c r="R58" i="50"/>
  <c r="R60" i="50" s="1"/>
  <c r="R61" i="50" s="1"/>
  <c r="S83" i="50"/>
  <c r="T41" i="55"/>
  <c r="T36" i="55"/>
  <c r="T42" i="55" s="1"/>
  <c r="S94" i="50"/>
  <c r="S93" i="50"/>
  <c r="S91" i="50" l="1"/>
  <c r="U19" i="55" s="1"/>
  <c r="U9" i="55" s="1"/>
  <c r="U4" i="55" s="1"/>
  <c r="U35" i="55" s="1"/>
  <c r="T43" i="55"/>
  <c r="T47" i="55"/>
  <c r="T48" i="55" s="1"/>
  <c r="T84" i="50"/>
  <c r="T85" i="50" s="1"/>
  <c r="T88" i="50" s="1"/>
  <c r="T37" i="55"/>
  <c r="S64" i="50" l="1"/>
  <c r="S73" i="50" s="1"/>
  <c r="S74" i="50" s="1"/>
  <c r="S92" i="50"/>
  <c r="S58" i="50"/>
  <c r="S60" i="50" s="1"/>
  <c r="S61" i="50" s="1"/>
  <c r="T94" i="50"/>
  <c r="T93" i="50"/>
  <c r="T83" i="50"/>
  <c r="U41" i="55"/>
  <c r="U36" i="55"/>
  <c r="U42" i="55" s="1"/>
  <c r="T91" i="50" l="1"/>
  <c r="V19" i="55" s="1"/>
  <c r="V9" i="55" s="1"/>
  <c r="V4" i="55" s="1"/>
  <c r="V35" i="55" s="1"/>
  <c r="U84" i="50"/>
  <c r="U85" i="50" s="1"/>
  <c r="U88" i="50" s="1"/>
  <c r="U47" i="55"/>
  <c r="U48" i="55" s="1"/>
  <c r="U43" i="55"/>
  <c r="U37" i="55"/>
  <c r="T92" i="50" l="1"/>
  <c r="T64" i="50"/>
  <c r="T73" i="50" s="1"/>
  <c r="T74" i="50" s="1"/>
  <c r="T58" i="50"/>
  <c r="T60" i="50" s="1"/>
  <c r="T61" i="50" s="1"/>
  <c r="V41" i="55"/>
  <c r="V36" i="55"/>
  <c r="V42" i="55" s="1"/>
  <c r="U83" i="50"/>
  <c r="U94" i="50"/>
  <c r="U93" i="50"/>
  <c r="V37" i="55" l="1"/>
  <c r="U91" i="50"/>
  <c r="W19" i="55" s="1"/>
  <c r="W9" i="55" s="1"/>
  <c r="W4" i="55" s="1"/>
  <c r="W35" i="55" s="1"/>
  <c r="V84" i="50"/>
  <c r="V85" i="50" s="1"/>
  <c r="V88" i="50" s="1"/>
  <c r="V43" i="55"/>
  <c r="V47" i="55"/>
  <c r="V48" i="55" s="1"/>
  <c r="U64" i="50" l="1"/>
  <c r="U73" i="50" s="1"/>
  <c r="U74" i="50" s="1"/>
  <c r="U92" i="50"/>
  <c r="U58" i="50"/>
  <c r="U60" i="50" s="1"/>
  <c r="U61" i="50" s="1"/>
  <c r="V94" i="50"/>
  <c r="V93" i="50"/>
  <c r="V83" i="50"/>
  <c r="W41" i="55"/>
  <c r="W36" i="55"/>
  <c r="W42" i="55" s="1"/>
  <c r="V91" i="50" l="1"/>
  <c r="V58" i="50" s="1"/>
  <c r="V60" i="50" s="1"/>
  <c r="V61" i="50" s="1"/>
  <c r="W84" i="50"/>
  <c r="W85" i="50" s="1"/>
  <c r="W88" i="50" s="1"/>
  <c r="W47" i="55"/>
  <c r="W48" i="55" s="1"/>
  <c r="W43" i="55"/>
  <c r="W37" i="55"/>
  <c r="V64" i="50" l="1"/>
  <c r="V73" i="50" s="1"/>
  <c r="V74" i="50" s="1"/>
  <c r="V92" i="50"/>
  <c r="X19" i="55"/>
  <c r="X9" i="55" s="1"/>
  <c r="X4" i="55" s="1"/>
  <c r="X35" i="55" s="1"/>
  <c r="X36" i="55" s="1"/>
  <c r="X42" i="55" s="1"/>
  <c r="W83" i="50"/>
  <c r="W94" i="50"/>
  <c r="W93" i="50"/>
  <c r="X41" i="55" l="1"/>
  <c r="X47" i="55" s="1"/>
  <c r="X48" i="55" s="1"/>
  <c r="W91" i="50"/>
  <c r="W64" i="50" s="1"/>
  <c r="W73" i="50" s="1"/>
  <c r="W74" i="50" s="1"/>
  <c r="X84" i="50"/>
  <c r="X85" i="50" s="1"/>
  <c r="X88" i="50" s="1"/>
  <c r="X37" i="55"/>
  <c r="X43" i="55" l="1"/>
  <c r="W58" i="50"/>
  <c r="W60" i="50" s="1"/>
  <c r="W61" i="50" s="1"/>
  <c r="Y19" i="55"/>
  <c r="Y9" i="55" s="1"/>
  <c r="Y4" i="55" s="1"/>
  <c r="Y35" i="55" s="1"/>
  <c r="Y41" i="55" s="1"/>
  <c r="W92" i="50"/>
  <c r="X83" i="50"/>
  <c r="X94" i="50"/>
  <c r="X93" i="50"/>
  <c r="Y36" i="55" l="1"/>
  <c r="Y42" i="55" s="1"/>
  <c r="X91" i="50"/>
  <c r="X58" i="50" s="1"/>
  <c r="X60" i="50" s="1"/>
  <c r="X61" i="50" s="1"/>
  <c r="Y84" i="50"/>
  <c r="Y85" i="50" s="1"/>
  <c r="Y88" i="50" s="1"/>
  <c r="Y43" i="55"/>
  <c r="Y47" i="55"/>
  <c r="Y48" i="55" s="1"/>
  <c r="Y37" i="55" l="1"/>
  <c r="X64" i="50"/>
  <c r="X73" i="50" s="1"/>
  <c r="X74" i="50" s="1"/>
  <c r="Z19" i="55"/>
  <c r="Z9" i="55" s="1"/>
  <c r="Z4" i="55" s="1"/>
  <c r="Z35" i="55" s="1"/>
  <c r="Z41" i="55" s="1"/>
  <c r="X92" i="50"/>
  <c r="Y83" i="50"/>
  <c r="Y94" i="50"/>
  <c r="Y93" i="50"/>
  <c r="Z36" i="55" l="1"/>
  <c r="Z42" i="55" s="1"/>
  <c r="Y91" i="50"/>
  <c r="AA19" i="55" s="1"/>
  <c r="AA9" i="55" s="1"/>
  <c r="AA4" i="55" s="1"/>
  <c r="AA35" i="55" s="1"/>
  <c r="Z84" i="50"/>
  <c r="Z85" i="50" s="1"/>
  <c r="Z88" i="50" s="1"/>
  <c r="Z43" i="55"/>
  <c r="Z47" i="55"/>
  <c r="Z48" i="55" s="1"/>
  <c r="Z37" i="55" l="1"/>
  <c r="Y64" i="50"/>
  <c r="Y73" i="50" s="1"/>
  <c r="Y74" i="50" s="1"/>
  <c r="Y92" i="50"/>
  <c r="Y58" i="50"/>
  <c r="Y60" i="50" s="1"/>
  <c r="Y61" i="50" s="1"/>
  <c r="Z83" i="50"/>
  <c r="Z94" i="50"/>
  <c r="Z93" i="50"/>
  <c r="AA41" i="55"/>
  <c r="AA36" i="55"/>
  <c r="AA42" i="55" s="1"/>
  <c r="Z91" i="50" l="1"/>
  <c r="AB19" i="55" s="1"/>
  <c r="AB9" i="55" s="1"/>
  <c r="AB4" i="55" s="1"/>
  <c r="AB35" i="55" s="1"/>
  <c r="AA43" i="55"/>
  <c r="AA47" i="55"/>
  <c r="AA48" i="55" s="1"/>
  <c r="AA37" i="55"/>
  <c r="AA84" i="50"/>
  <c r="AA85" i="50" s="1"/>
  <c r="AA88" i="50" s="1"/>
  <c r="Z64" i="50" l="1"/>
  <c r="Z73" i="50" s="1"/>
  <c r="Z74" i="50" s="1"/>
  <c r="Z58" i="50"/>
  <c r="Z60" i="50" s="1"/>
  <c r="Z61" i="50" s="1"/>
  <c r="Z92" i="50"/>
  <c r="AA94" i="50"/>
  <c r="AA93" i="50"/>
  <c r="AA83" i="50"/>
  <c r="AB41" i="55"/>
  <c r="AB36" i="55"/>
  <c r="AB42" i="55" s="1"/>
  <c r="AA91" i="50" l="1"/>
  <c r="AA58" i="50" s="1"/>
  <c r="AA60" i="50" s="1"/>
  <c r="AA61" i="50" s="1"/>
  <c r="AB84" i="50"/>
  <c r="AB85" i="50" s="1"/>
  <c r="AB83" i="50" s="1"/>
  <c r="AD83" i="50" s="1"/>
  <c r="AB37" i="55"/>
  <c r="AB43" i="55"/>
  <c r="AB47" i="55"/>
  <c r="AB48" i="55" s="1"/>
  <c r="AA64" i="50" l="1"/>
  <c r="AA73" i="50" s="1"/>
  <c r="AA74" i="50" s="1"/>
  <c r="AA92" i="50"/>
  <c r="AC19" i="55"/>
  <c r="AC9" i="55" s="1"/>
  <c r="AC4" i="55" s="1"/>
  <c r="AC35" i="55" s="1"/>
  <c r="AC41" i="55" s="1"/>
  <c r="AB88" i="50"/>
  <c r="AD85" i="50"/>
  <c r="AC36" i="55" l="1"/>
  <c r="AC42" i="55" s="1"/>
  <c r="AB94" i="50"/>
  <c r="AB93" i="50"/>
  <c r="AC47" i="55"/>
  <c r="AC48" i="55" s="1"/>
  <c r="AC43" i="55"/>
  <c r="AC37" i="55" l="1"/>
  <c r="AB91" i="50"/>
  <c r="AD19" i="55" s="1"/>
  <c r="AB92" i="50" l="1"/>
  <c r="AD92" i="50" s="1"/>
  <c r="AB64" i="50"/>
  <c r="AB73" i="50" s="1"/>
  <c r="AB74" i="50" s="1"/>
  <c r="AD91" i="50"/>
  <c r="AB58" i="50"/>
  <c r="AB60" i="50" s="1"/>
  <c r="AB61" i="50" s="1"/>
  <c r="AD9" i="55"/>
  <c r="AD4" i="55" s="1"/>
  <c r="AD35" i="55" s="1"/>
  <c r="AE19" i="55"/>
  <c r="XFD64" i="50" l="1"/>
  <c r="AD41" i="55"/>
  <c r="AD36" i="55"/>
  <c r="AD42" i="55" s="1"/>
  <c r="AD37" i="55" l="1"/>
  <c r="AD43" i="55"/>
  <c r="AD47" i="55"/>
  <c r="AD48" i="55" s="1"/>
</calcChain>
</file>

<file path=xl/sharedStrings.xml><?xml version="1.0" encoding="utf-8"?>
<sst xmlns="http://schemas.openxmlformats.org/spreadsheetml/2006/main" count="565" uniqueCount="206">
  <si>
    <t xml:space="preserve"> </t>
  </si>
  <si>
    <t>PERFORMANCE INDICATORS</t>
  </si>
  <si>
    <t xml:space="preserve">total </t>
  </si>
  <si>
    <t>PERFORMANCE ON REVENUE</t>
  </si>
  <si>
    <t xml:space="preserve">Total Area </t>
  </si>
  <si>
    <t>sqm</t>
  </si>
  <si>
    <t>Total Personnel</t>
  </si>
  <si>
    <t>#</t>
  </si>
  <si>
    <t>Total Investments</t>
  </si>
  <si>
    <t xml:space="preserve">Financial plan </t>
  </si>
  <si>
    <t>Loan from Investors</t>
  </si>
  <si>
    <t>Banking loan</t>
  </si>
  <si>
    <t>Program financial index*</t>
  </si>
  <si>
    <t>IRR - First 10 Years</t>
  </si>
  <si>
    <t>%</t>
  </si>
  <si>
    <t>PI - Profitability Index - First 10 Years</t>
  </si>
  <si>
    <t>NPV - First 10 Years</t>
  </si>
  <si>
    <t>CHF</t>
  </si>
  <si>
    <t>AVG. REVENUE per YEAR - Avg. 10 Years</t>
  </si>
  <si>
    <t>AVG. OPERATING COSTS per YEAR - Avg. 10 Years</t>
  </si>
  <si>
    <t>AVG. EBITDA per YEAR - Avg. 10 Years</t>
  </si>
  <si>
    <t>AVG. EBIT per YEAR - Avg. 10 Years</t>
  </si>
  <si>
    <t>AVG. NET INCOME per YEAR - Avg. 10 Years</t>
  </si>
  <si>
    <t>AVG. NET INCOME per YEAR - Avg. Years 1-3</t>
  </si>
  <si>
    <t>AVG. NET INCOME per YEAR - Avg. Years 1-5</t>
  </si>
  <si>
    <t>AVG. NET INCOME per YEAR - Avg. Years 6-10</t>
  </si>
  <si>
    <r>
      <t>*</t>
    </r>
    <r>
      <rPr>
        <i/>
        <sz val="11"/>
        <color rgb="FF002060"/>
        <rFont val="Calibri"/>
        <family val="2"/>
        <scheme val="minor"/>
      </rPr>
      <t>Note: tax credit compensation  has not be included</t>
    </r>
    <r>
      <rPr>
        <b/>
        <sz val="11"/>
        <color rgb="FF002060"/>
        <rFont val="Calibri"/>
        <family val="2"/>
        <scheme val="minor"/>
      </rPr>
      <t xml:space="preserve"> </t>
    </r>
  </si>
  <si>
    <t>Willio &amp; David</t>
  </si>
  <si>
    <t>U</t>
  </si>
  <si>
    <t>Cash flows from operating activities</t>
  </si>
  <si>
    <t>Business receipts</t>
  </si>
  <si>
    <t>CGS</t>
  </si>
  <si>
    <t>Labor costs</t>
  </si>
  <si>
    <t>O/H Expenses</t>
  </si>
  <si>
    <t>taxes</t>
  </si>
  <si>
    <t>VAT received</t>
  </si>
  <si>
    <t>VAT paid</t>
  </si>
  <si>
    <t>VAT receivable - VAT paid</t>
  </si>
  <si>
    <t xml:space="preserve">The amount of VAT receivable - VAT paid </t>
  </si>
  <si>
    <t>auxiliary strokk</t>
  </si>
  <si>
    <t>VAT to be paid to (+) / repayment (-)</t>
  </si>
  <si>
    <t>Insurance premiums in the gov't. extrabudgetary funds</t>
  </si>
  <si>
    <t>Property tax</t>
  </si>
  <si>
    <t>Corporate taxes</t>
  </si>
  <si>
    <t>Payment of interest on loans</t>
  </si>
  <si>
    <t>Cash flows from investing activities</t>
  </si>
  <si>
    <t>Investments in fixed assets</t>
  </si>
  <si>
    <t>Investments in working capital</t>
  </si>
  <si>
    <t>Cash flows from financing activities</t>
  </si>
  <si>
    <t>Investors loan put in equity</t>
  </si>
  <si>
    <t>Grants</t>
  </si>
  <si>
    <t>Investors financing repayment</t>
  </si>
  <si>
    <t>banking loan repayment</t>
  </si>
  <si>
    <t>Dividend payment</t>
  </si>
  <si>
    <t>Total cash flow for the period</t>
  </si>
  <si>
    <t>Cash eop</t>
  </si>
  <si>
    <t>Key Performance Indicators</t>
  </si>
  <si>
    <t>Cash flow (FCF)</t>
  </si>
  <si>
    <t>Cash flow on an accrual basis</t>
  </si>
  <si>
    <t>The average growth rate FCF</t>
  </si>
  <si>
    <t>Discount coefficient</t>
  </si>
  <si>
    <t>discount function</t>
  </si>
  <si>
    <t>Discounted Cash Flow</t>
  </si>
  <si>
    <t>Discounted cash flow on an accrual basis</t>
  </si>
  <si>
    <t>Discounted rate</t>
  </si>
  <si>
    <t>YEAR</t>
  </si>
  <si>
    <t>CASH FLOW (thousand Swiss Franc)</t>
  </si>
  <si>
    <t>YTD NPV (thousand CHF)</t>
  </si>
  <si>
    <t>OTD NPV CF (thousand CHF)</t>
  </si>
  <si>
    <t>IRR</t>
  </si>
  <si>
    <t>NPVin</t>
  </si>
  <si>
    <t xml:space="preserve">npv@ capital cost </t>
  </si>
  <si>
    <t>NPVout</t>
  </si>
  <si>
    <t>npv initial cashout</t>
  </si>
  <si>
    <t>NPV</t>
  </si>
  <si>
    <t>PI</t>
  </si>
  <si>
    <t>profitability index</t>
  </si>
  <si>
    <t>CAPEX ReVamping Piattaforma</t>
  </si>
  <si>
    <t>total area (including openair area)</t>
  </si>
  <si>
    <t>total capex Revamping</t>
  </si>
  <si>
    <t>Kitchen</t>
  </si>
  <si>
    <t>posti a sedere</t>
  </si>
  <si>
    <t xml:space="preserve">Restaurant (inside) </t>
  </si>
  <si>
    <t xml:space="preserve">affitto 1 </t>
  </si>
  <si>
    <t>Restaurant (and open air)</t>
  </si>
  <si>
    <t>Bar</t>
  </si>
  <si>
    <t>affitto 2</t>
  </si>
  <si>
    <t>Wine cellar</t>
  </si>
  <si>
    <t>Technical area</t>
  </si>
  <si>
    <t xml:space="preserve">Office + web Cam + Security ect </t>
  </si>
  <si>
    <t>stigliature</t>
  </si>
  <si>
    <t>recurring costs for raw material</t>
  </si>
  <si>
    <t xml:space="preserve"> Opex General expences</t>
  </si>
  <si>
    <t>* calculated on the relevant revenues</t>
  </si>
  <si>
    <t xml:space="preserve">* calculated on the total yearly  income </t>
  </si>
  <si>
    <t>raw material for food*</t>
  </si>
  <si>
    <t>operating expences*</t>
  </si>
  <si>
    <t xml:space="preserve">total personnel costs </t>
  </si>
  <si>
    <t>raw material for beverage*</t>
  </si>
  <si>
    <t>Administration *</t>
  </si>
  <si>
    <t>Utilities</t>
  </si>
  <si>
    <t xml:space="preserve">Rent 1 </t>
  </si>
  <si>
    <t>rent 2</t>
  </si>
  <si>
    <t>Contigencies</t>
  </si>
  <si>
    <t>INVESTMENT PARAMETERS</t>
  </si>
  <si>
    <t>Yearly inflation rate</t>
  </si>
  <si>
    <t>Discount rate</t>
  </si>
  <si>
    <t>TOTAL INVESTMENT SUMMARY</t>
  </si>
  <si>
    <t>Amount of total investment</t>
  </si>
  <si>
    <t xml:space="preserve">licencee acquisition </t>
  </si>
  <si>
    <t xml:space="preserve">restructuring &amp; revamping </t>
  </si>
  <si>
    <t>loan from investors</t>
  </si>
  <si>
    <t xml:space="preserve">interest rate  </t>
  </si>
  <si>
    <t>Duration of loan</t>
  </si>
  <si>
    <t>years</t>
  </si>
  <si>
    <t xml:space="preserve">average interest rate  </t>
  </si>
  <si>
    <t>Industrial production for Ready Plate , souces &amp; sandwiches - Montalbano, Fumetti, Monteriggioni</t>
  </si>
  <si>
    <t>SENIOR DEBT TABLE</t>
  </si>
  <si>
    <t>Investors' loan</t>
  </si>
  <si>
    <t>Annuity</t>
  </si>
  <si>
    <t>Amortization of capital</t>
  </si>
  <si>
    <t>Interest payments</t>
  </si>
  <si>
    <t xml:space="preserve">Debt outstanding </t>
  </si>
  <si>
    <t xml:space="preserve"> banking loan</t>
  </si>
  <si>
    <t>Total investment</t>
  </si>
  <si>
    <t>Operating Account</t>
  </si>
  <si>
    <t>Revenue , percentage of achievement/year ( percentage on each production)</t>
  </si>
  <si>
    <t>Total revenues</t>
  </si>
  <si>
    <t>Food</t>
  </si>
  <si>
    <t>Beverage</t>
  </si>
  <si>
    <t>Service charges</t>
  </si>
  <si>
    <t>Total Personnel costs</t>
  </si>
  <si>
    <t>implementation of the project</t>
  </si>
  <si>
    <t xml:space="preserve">  raw material  for food</t>
  </si>
  <si>
    <t>raw material for beverage</t>
  </si>
  <si>
    <t>operating expences+ Rents</t>
  </si>
  <si>
    <t xml:space="preserve">Administration </t>
  </si>
  <si>
    <t>Costs</t>
  </si>
  <si>
    <t>Total Operating Expenses updated with inflaction</t>
  </si>
  <si>
    <t>EBITDA</t>
  </si>
  <si>
    <t>Depreciation</t>
  </si>
  <si>
    <t>EBIT</t>
  </si>
  <si>
    <t>Interest expenses on senior debt</t>
  </si>
  <si>
    <t>EBT</t>
  </si>
  <si>
    <t>Corporate Tax</t>
  </si>
  <si>
    <t>NET INCOME</t>
  </si>
  <si>
    <t>RoR</t>
  </si>
  <si>
    <t>CASHFLOW</t>
  </si>
  <si>
    <t>Operating Cash flow</t>
  </si>
  <si>
    <t>Investing Cash flow</t>
  </si>
  <si>
    <t>Financing Cash flow</t>
  </si>
  <si>
    <t>Banking Loan</t>
  </si>
  <si>
    <t>Banking Loan repayment</t>
  </si>
  <si>
    <t xml:space="preserve"> Equity</t>
  </si>
  <si>
    <t>grants</t>
  </si>
  <si>
    <t>Investors loan repayment</t>
  </si>
  <si>
    <t xml:space="preserve">Investors loan </t>
  </si>
  <si>
    <t>Cash for the year</t>
  </si>
  <si>
    <t>Cumulative Cash at Year End</t>
  </si>
  <si>
    <t>CORPORATE TAX CALCULATION</t>
  </si>
  <si>
    <t>EBIT (ROL)</t>
  </si>
  <si>
    <t>adjusted EBIT (ROL)</t>
  </si>
  <si>
    <t>Max deductable Interest Exp =  30% on adjusted EBIT</t>
  </si>
  <si>
    <t>deferred tax</t>
  </si>
  <si>
    <t>ANNUAL INTEREST EXPENSES ON SENIOR DEBT</t>
  </si>
  <si>
    <t>INTEREST EXPENSES carryforward balance</t>
  </si>
  <si>
    <t>INTEREST EXPENSES balance amount to be deducted</t>
  </si>
  <si>
    <t>INTEREST EXPENSES - Tax deductibility on adjusted EBIT</t>
  </si>
  <si>
    <t>adjusted EBT for tax calculation</t>
  </si>
  <si>
    <t>corporate tax</t>
  </si>
  <si>
    <t xml:space="preserve">TOTAL CORPORATE TAX </t>
  </si>
  <si>
    <t>average tax rate</t>
  </si>
  <si>
    <t>IRES</t>
  </si>
  <si>
    <t>IRAP</t>
  </si>
  <si>
    <t>NET OPERATING LOSS</t>
  </si>
  <si>
    <t>Opening balance NOL</t>
  </si>
  <si>
    <t>Current loss</t>
  </si>
  <si>
    <t>Sub total</t>
  </si>
  <si>
    <t>Loss used</t>
  </si>
  <si>
    <t>Closing balance NOL</t>
  </si>
  <si>
    <t>PRODUCTION : based on assumptions</t>
  </si>
  <si>
    <t>Service Charges</t>
  </si>
  <si>
    <t>Total income</t>
  </si>
  <si>
    <t xml:space="preserve">percentage </t>
  </si>
  <si>
    <t>Monthly average</t>
  </si>
  <si>
    <t xml:space="preserve">yearly average  value </t>
  </si>
  <si>
    <t>operating income (updated with inflaction)</t>
  </si>
  <si>
    <t xml:space="preserve">Food </t>
  </si>
  <si>
    <t>Total Revenues</t>
  </si>
  <si>
    <t>Site Geneva (renting formula)</t>
  </si>
  <si>
    <t xml:space="preserve">Total Capex Platfrom Geneva </t>
  </si>
  <si>
    <t xml:space="preserve">Personnel costs </t>
  </si>
  <si>
    <t>Adm. Trasp.Logistics (4 Units)</t>
  </si>
  <si>
    <t>Scouting. Consultants . Profesional . Legal. Licence</t>
  </si>
  <si>
    <t>Location</t>
  </si>
  <si>
    <t xml:space="preserve"> banking credit line </t>
  </si>
  <si>
    <t>Duration of credit</t>
  </si>
  <si>
    <t>Revenues A (Main)</t>
  </si>
  <si>
    <t>Revenues C (BtB)</t>
  </si>
  <si>
    <t>Revenues B (HD)</t>
  </si>
  <si>
    <t xml:space="preserve">Place A ( 8 Units) RAL Media Unit </t>
  </si>
  <si>
    <t>Place B (4 Units)</t>
  </si>
  <si>
    <t>Cash flow statement (thousand CHFs).</t>
  </si>
  <si>
    <t>thousand CHF</t>
  </si>
  <si>
    <t xml:space="preserve">(16 x 5) 80 </t>
  </si>
  <si>
    <t>Willio &amp; Dave CH - Consolidato 5 Yrs. 5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</si>
</sst>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[$€-1]"/>
    <numFmt numFmtId="166" formatCode="#,##0\ _€"/>
    <numFmt numFmtId="167" formatCode="#,##0\ _F"/>
    <numFmt numFmtId="168" formatCode="0.0%"/>
    <numFmt numFmtId="169" formatCode="#,##0\ &quot;€&quot;"/>
    <numFmt numFmtId="170" formatCode="#,##0.00\ _€"/>
    <numFmt numFmtId="171" formatCode="#,##0&quot;  m2&quot;"/>
    <numFmt numFmtId="172" formatCode="_-* #,##0\ _€_-;\-* #,##0\ _€_-;_-* &quot;-&quot;??\ _€_-;_-@_-"/>
    <numFmt numFmtId="173" formatCode="#,##0&quot;  Wc&quot;"/>
    <numFmt numFmtId="174" formatCode="#,##0_ ;\-#,##0\ "/>
    <numFmt numFmtId="175" formatCode="#,##0&quot; k€/Mwc&quot;"/>
    <numFmt numFmtId="176" formatCode="#,##0&quot; k€/MWc&quot;"/>
    <numFmt numFmtId="177" formatCode="_-[$€-410]\ * #,##0_-;\-[$€-410]\ * #,##0_-;_-[$€-410]\ * &quot;-&quot;??_-;_-@_-"/>
    <numFmt numFmtId="178" formatCode="#,##0.0&quot; €/mq&quot;"/>
    <numFmt numFmtId="179" formatCode="#,##0&quot; mq&quot;"/>
    <numFmt numFmtId="180" formatCode="#,##0&quot;  years&quot;"/>
    <numFmt numFmtId="181" formatCode="_([$€-2]\ * #,##0.00_);_([$€-2]\ * \(#,##0.00\);_([$€-2]\ * &quot;-&quot;??_);_(@_)"/>
    <numFmt numFmtId="182" formatCode="_([$€-2]\ * #,##0_);_([$€-2]\ * \(#,##0\);_([$€-2]\ * &quot;-&quot;??_);_(@_)"/>
    <numFmt numFmtId="183" formatCode="[$€-2]\ #,##0_);[Red]\([$€-2]\ #,##0\)"/>
    <numFmt numFmtId="184" formatCode="0.000000"/>
    <numFmt numFmtId="185" formatCode="0.0000"/>
    <numFmt numFmtId="186" formatCode="_ [$CHF-810]\ * #,##0_ ;_ [$CHF-810]\ * \-#,##0_ ;_ [$CHF-810]\ * &quot;-&quot;??_ ;_ @_ "/>
    <numFmt numFmtId="187" formatCode="#,##0.0&quot; Kg&quot;"/>
    <numFmt numFmtId="188" formatCode="#,##0.00&quot;  €/Kg&quot;"/>
    <numFmt numFmtId="189" formatCode="#,##0.0"/>
    <numFmt numFmtId="190" formatCode="#,##0.0&quot; liter&quot;"/>
    <numFmt numFmtId="191" formatCode="#,##0.00&quot;  €/liter&quot;"/>
    <numFmt numFmtId="192" formatCode="#,##0.0\ &quot;€&quot;"/>
    <numFmt numFmtId="193" formatCode="#,##0\ [$€-410];\-#,##0\ [$€-410]"/>
    <numFmt numFmtId="194" formatCode="#,##0.000_ ;\-#,##0.000\ "/>
    <numFmt numFmtId="195" formatCode="#,##0.000\ [$€-410];\-#,##0.000\ [$€-410]"/>
    <numFmt numFmtId="196" formatCode="[$$-409]#,##0.00"/>
    <numFmt numFmtId="197" formatCode="_-[$$-409]* #,##0.00_ ;_-[$$-409]* \-#,##0.00\ ;_-[$$-409]* &quot;-&quot;??_ ;_-@_ "/>
    <numFmt numFmtId="198" formatCode="_-[$$-409]* #,##0_ ;_-[$$-409]* \-#,##0\ ;_-[$$-409]* &quot;-&quot;_ ;_-@_ "/>
    <numFmt numFmtId="199" formatCode="[$US$-3009]#,##0.00"/>
    <numFmt numFmtId="200" formatCode="#,##0.00\ [$CHF]" x16r2:formatCode16="#,##0.00\ [$CHF-gsw-CH]"/>
    <numFmt numFmtId="201" formatCode="#,##0\ [$CHF]" x16r2:formatCode16="#,##0\ [$CHF-gsw-CH]"/>
    <numFmt numFmtId="202" formatCode="#,##0\ [$CHF-100C]"/>
    <numFmt numFmtId="203" formatCode="#,##0\ [$CHF];\-#,##0\ [$CHF]" x16r2:formatCode16="#,##0\ [$CHF-gsw-CH];\-#,##0\ [$CHF-gsw-CH]"/>
    <numFmt numFmtId="204" formatCode="[$CHF-807]\ #,##0;[Red][$CHF-807]\ #,##0"/>
    <numFmt numFmtId="205" formatCode="_ [$CHF-807]\ * #,##0_ ;_ [$CHF-807]\ * \-#,##0_ ;_ [$CHF-807]\ * &quot;-&quot;_ ;_ @_ "/>
    <numFmt numFmtId="206" formatCode="_-[$CHF-1407]\ * #,##0_-;\-[$CHF-1407]\ * #,##0_-;_-[$CHF-1407]\ * &quot;-&quot;_-;_-@_-"/>
    <numFmt numFmtId="207" formatCode="#,##0\ [$CHF-100C];\-#,##0\ [$CHF-100C]"/>
    <numFmt numFmtId="208" formatCode="0.000%"/>
    <numFmt numFmtId="209" formatCode="#,##0.0_ ;\-#,##0.0\ "/>
  </numFmts>
  <fonts count="1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4"/>
      <color indexed="9"/>
      <name val="Arial"/>
      <family val="2"/>
    </font>
    <font>
      <sz val="16"/>
      <color indexed="8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10"/>
      <name val="Comic Sans MS"/>
      <family val="4"/>
    </font>
    <font>
      <b/>
      <sz val="8"/>
      <name val="Arial"/>
      <family val="2"/>
    </font>
    <font>
      <b/>
      <sz val="12"/>
      <color indexed="8"/>
      <name val="Arial"/>
      <family val="2"/>
    </font>
    <font>
      <b/>
      <sz val="8"/>
      <color indexed="10"/>
      <name val="Arial"/>
      <family val="2"/>
    </font>
    <font>
      <sz val="10"/>
      <color indexed="10"/>
      <name val="Comic Sans MS"/>
      <family val="4"/>
    </font>
    <font>
      <b/>
      <sz val="10"/>
      <name val="Arial"/>
      <family val="2"/>
    </font>
    <font>
      <i/>
      <sz val="10"/>
      <color indexed="12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rgb="FF0070C0"/>
      <name val="Arial"/>
      <family val="2"/>
    </font>
    <font>
      <sz val="9"/>
      <color theme="3" tint="0.3999755851924192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rgb="FF0070C0"/>
      <name val="Arial"/>
      <family val="2"/>
    </font>
    <font>
      <sz val="11"/>
      <color indexed="49"/>
      <name val="Arial"/>
      <family val="2"/>
    </font>
    <font>
      <b/>
      <sz val="11"/>
      <color theme="0"/>
      <name val="Arial"/>
      <family val="2"/>
    </font>
    <font>
      <sz val="11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9"/>
      <color rgb="FFFF0000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B05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u/>
      <sz val="10"/>
      <color theme="10"/>
      <name val="Arial"/>
      <family val="2"/>
      <charset val="204"/>
    </font>
    <font>
      <b/>
      <sz val="10"/>
      <name val="Arial Narrow"/>
      <family val="2"/>
    </font>
    <font>
      <sz val="10"/>
      <name val="Calibri"/>
      <family val="2"/>
      <scheme val="minor"/>
    </font>
    <font>
      <b/>
      <sz val="15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17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55"/>
      <name val="Calibri"/>
      <family val="2"/>
      <scheme val="minor"/>
    </font>
    <font>
      <b/>
      <sz val="10"/>
      <color indexed="56"/>
      <name val="Arial Narrow"/>
      <family val="2"/>
    </font>
    <font>
      <b/>
      <sz val="12"/>
      <color indexed="8"/>
      <name val="Calibri"/>
      <family val="2"/>
    </font>
    <font>
      <b/>
      <sz val="12"/>
      <color theme="10"/>
      <name val="Calibri"/>
      <family val="2"/>
    </font>
    <font>
      <sz val="12"/>
      <color theme="10"/>
      <name val="Calibri"/>
      <family val="2"/>
    </font>
    <font>
      <sz val="11"/>
      <color theme="10"/>
      <name val="Calibri"/>
      <family val="2"/>
      <scheme val="minor"/>
    </font>
    <font>
      <sz val="11"/>
      <color indexed="10"/>
      <name val="Comic Sans MS"/>
      <family val="4"/>
    </font>
    <font>
      <u/>
      <sz val="11"/>
      <color indexed="10"/>
      <name val="Arial"/>
      <family val="2"/>
    </font>
    <font>
      <b/>
      <sz val="11"/>
      <color indexed="10"/>
      <name val="Arial"/>
      <family val="2"/>
    </font>
    <font>
      <sz val="11"/>
      <color indexed="10"/>
      <name val="Arial"/>
      <family val="2"/>
    </font>
    <font>
      <sz val="11"/>
      <color theme="3" tint="0.39997558519241921"/>
      <name val="Arial"/>
      <family val="2"/>
    </font>
    <font>
      <b/>
      <sz val="11"/>
      <color theme="3" tint="0.39997558519241921"/>
      <name val="Arial"/>
      <family val="2"/>
    </font>
    <font>
      <b/>
      <sz val="11"/>
      <color rgb="FFFF0000"/>
      <name val="Arial"/>
      <family val="2"/>
    </font>
    <font>
      <b/>
      <i/>
      <sz val="16"/>
      <color indexed="56"/>
      <name val="Calibri"/>
      <family val="2"/>
      <scheme val="minor"/>
    </font>
    <font>
      <b/>
      <sz val="16"/>
      <name val="Calibri"/>
      <family val="2"/>
      <scheme val="minor"/>
    </font>
    <font>
      <b/>
      <i/>
      <sz val="16"/>
      <name val="Calibri"/>
      <family val="2"/>
      <scheme val="minor"/>
    </font>
    <font>
      <sz val="12"/>
      <color theme="4"/>
      <name val="Arial"/>
      <family val="2"/>
    </font>
    <font>
      <sz val="12"/>
      <color rgb="FFFFC000"/>
      <name val="Arial"/>
      <family val="2"/>
    </font>
    <font>
      <b/>
      <sz val="16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5"/>
      <name val="Arial"/>
      <family val="2"/>
    </font>
    <font>
      <sz val="12"/>
      <color indexed="8"/>
      <name val="Arial"/>
      <family val="2"/>
    </font>
    <font>
      <sz val="11"/>
      <color rgb="FF000000"/>
      <name val="Arial"/>
      <family val="2"/>
    </font>
    <font>
      <i/>
      <sz val="11"/>
      <color theme="3" tint="0.39997558519241921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i/>
      <sz val="10"/>
      <color indexed="12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i/>
      <sz val="10"/>
      <color indexed="10"/>
      <name val="Calibri"/>
      <family val="2"/>
      <scheme val="minor"/>
    </font>
    <font>
      <b/>
      <sz val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i/>
      <sz val="12"/>
      <name val="Calibri"/>
      <family val="2"/>
      <scheme val="minor"/>
    </font>
    <font>
      <i/>
      <sz val="11"/>
      <color rgb="FF00206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3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indexed="36"/>
      </patternFill>
    </fill>
    <fill>
      <patternFill patternType="solid">
        <fgColor theme="0"/>
        <bgColor indexed="3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36"/>
      </patternFill>
    </fill>
    <fill>
      <patternFill patternType="solid">
        <fgColor indexed="56"/>
        <bgColor indexed="64"/>
      </patternFill>
    </fill>
    <fill>
      <patternFill patternType="solid">
        <fgColor indexed="42"/>
        <bgColor indexed="64"/>
      </patternFill>
    </fill>
    <fill>
      <gradientFill degree="90">
        <stop position="0">
          <color theme="0"/>
        </stop>
        <stop position="1">
          <color rgb="FFFFC000"/>
        </stop>
      </gradient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36"/>
      </patternFill>
    </fill>
    <fill>
      <patternFill patternType="solid">
        <fgColor theme="6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9"/>
      </left>
      <right style="medium">
        <color indexed="9"/>
      </right>
      <top style="medium">
        <color indexed="64"/>
      </top>
      <bottom/>
      <diagonal/>
    </border>
    <border>
      <left style="medium">
        <color indexed="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9"/>
      </left>
      <right style="medium">
        <color indexed="9"/>
      </right>
      <top/>
      <bottom style="medium">
        <color indexed="64"/>
      </bottom>
      <diagonal/>
    </border>
    <border>
      <left style="medium">
        <color indexed="9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0" fontId="11" fillId="0" borderId="0"/>
    <xf numFmtId="9" fontId="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9" fillId="0" borderId="0"/>
    <xf numFmtId="0" fontId="51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11" fillId="0" borderId="0"/>
    <xf numFmtId="44" fontId="2" fillId="0" borderId="0" applyFont="0" applyFill="0" applyBorder="0" applyAlignment="0" applyProtection="0"/>
  </cellStyleXfs>
  <cellXfs count="55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5" fillId="0" borderId="1" xfId="0" applyFont="1" applyBorder="1" applyAlignment="1">
      <alignment vertical="center"/>
    </xf>
    <xf numFmtId="10" fontId="0" fillId="0" borderId="0" xfId="0" applyNumberFormat="1" applyAlignment="1">
      <alignment vertical="center"/>
    </xf>
    <xf numFmtId="10" fontId="4" fillId="3" borderId="0" xfId="0" applyNumberFormat="1" applyFont="1" applyFill="1" applyAlignment="1">
      <alignment vertical="center"/>
    </xf>
    <xf numFmtId="0" fontId="0" fillId="0" borderId="4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3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14" fillId="0" borderId="0" xfId="2" applyNumberFormat="1" applyFont="1" applyAlignment="1">
      <alignment horizontal="center" vertical="center"/>
    </xf>
    <xf numFmtId="166" fontId="16" fillId="0" borderId="0" xfId="2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8" fontId="31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30" fillId="0" borderId="5" xfId="0" applyFont="1" applyBorder="1" applyAlignment="1">
      <alignment horizontal="center" vertical="center"/>
    </xf>
    <xf numFmtId="0" fontId="30" fillId="0" borderId="9" xfId="0" applyFont="1" applyBorder="1" applyAlignment="1">
      <alignment vertical="center"/>
    </xf>
    <xf numFmtId="174" fontId="4" fillId="0" borderId="0" xfId="0" applyNumberFormat="1" applyFont="1" applyAlignment="1">
      <alignment vertical="center"/>
    </xf>
    <xf numFmtId="174" fontId="25" fillId="4" borderId="0" xfId="0" applyNumberFormat="1" applyFont="1" applyFill="1" applyAlignment="1">
      <alignment horizontal="center" vertical="center"/>
    </xf>
    <xf numFmtId="167" fontId="23" fillId="4" borderId="0" xfId="0" applyNumberFormat="1" applyFont="1" applyFill="1" applyAlignment="1">
      <alignment horizontal="center" vertical="center"/>
    </xf>
    <xf numFmtId="0" fontId="34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25" fillId="4" borderId="0" xfId="0" applyFont="1" applyFill="1" applyAlignment="1">
      <alignment horizontal="center" vertical="center"/>
    </xf>
    <xf numFmtId="3" fontId="35" fillId="5" borderId="13" xfId="0" applyNumberFormat="1" applyFont="1" applyFill="1" applyBorder="1" applyAlignment="1">
      <alignment horizontal="center" vertical="center"/>
    </xf>
    <xf numFmtId="3" fontId="35" fillId="5" borderId="14" xfId="0" applyNumberFormat="1" applyFont="1" applyFill="1" applyBorder="1" applyAlignment="1">
      <alignment horizontal="center" vertical="center"/>
    </xf>
    <xf numFmtId="4" fontId="30" fillId="0" borderId="1" xfId="2" applyNumberFormat="1" applyFont="1" applyBorder="1" applyAlignment="1">
      <alignment horizontal="center" vertical="center"/>
    </xf>
    <xf numFmtId="4" fontId="30" fillId="0" borderId="16" xfId="2" applyNumberFormat="1" applyFont="1" applyBorder="1" applyAlignment="1">
      <alignment horizontal="center" vertical="center"/>
    </xf>
    <xf numFmtId="0" fontId="37" fillId="6" borderId="18" xfId="0" applyFont="1" applyFill="1" applyBorder="1" applyAlignment="1">
      <alignment horizontal="center" vertical="center"/>
    </xf>
    <xf numFmtId="3" fontId="13" fillId="0" borderId="20" xfId="0" applyNumberFormat="1" applyFont="1" applyBorder="1" applyAlignment="1">
      <alignment horizontal="center" vertical="center"/>
    </xf>
    <xf numFmtId="3" fontId="33" fillId="5" borderId="21" xfId="1" applyNumberFormat="1" applyFont="1" applyFill="1" applyBorder="1" applyAlignment="1">
      <alignment horizontal="center" vertical="center"/>
    </xf>
    <xf numFmtId="3" fontId="33" fillId="5" borderId="22" xfId="1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25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30" fillId="4" borderId="0" xfId="0" applyFont="1" applyFill="1" applyAlignment="1">
      <alignment vertical="center"/>
    </xf>
    <xf numFmtId="0" fontId="22" fillId="4" borderId="0" xfId="0" applyFont="1" applyFill="1" applyAlignment="1">
      <alignment vertical="center"/>
    </xf>
    <xf numFmtId="9" fontId="24" fillId="4" borderId="0" xfId="3" applyFont="1" applyFill="1" applyAlignment="1">
      <alignment vertical="center"/>
    </xf>
    <xf numFmtId="10" fontId="25" fillId="4" borderId="0" xfId="3" applyNumberFormat="1" applyFont="1" applyFill="1" applyAlignment="1">
      <alignment horizontal="center" vertical="center"/>
    </xf>
    <xf numFmtId="165" fontId="27" fillId="4" borderId="0" xfId="0" applyNumberFormat="1" applyFont="1" applyFill="1" applyAlignment="1">
      <alignment vertical="center"/>
    </xf>
    <xf numFmtId="165" fontId="29" fillId="4" borderId="0" xfId="0" applyNumberFormat="1" applyFont="1" applyFill="1" applyAlignment="1">
      <alignment vertical="center"/>
    </xf>
    <xf numFmtId="175" fontId="4" fillId="4" borderId="0" xfId="0" applyNumberFormat="1" applyFont="1" applyFill="1" applyAlignment="1">
      <alignment vertical="center"/>
    </xf>
    <xf numFmtId="0" fontId="30" fillId="4" borderId="7" xfId="0" applyFont="1" applyFill="1" applyBorder="1" applyAlignment="1">
      <alignment horizontal="center" vertical="center"/>
    </xf>
    <xf numFmtId="0" fontId="30" fillId="4" borderId="4" xfId="0" applyFont="1" applyFill="1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174" fontId="25" fillId="0" borderId="0" xfId="0" applyNumberFormat="1" applyFont="1" applyAlignment="1">
      <alignment horizontal="center" vertical="center"/>
    </xf>
    <xf numFmtId="10" fontId="25" fillId="0" borderId="0" xfId="3" applyNumberFormat="1" applyFont="1" applyAlignment="1">
      <alignment horizontal="center" vertical="center"/>
    </xf>
    <xf numFmtId="171" fontId="36" fillId="0" borderId="0" xfId="0" applyNumberFormat="1" applyFont="1" applyAlignment="1">
      <alignment vertical="center"/>
    </xf>
    <xf numFmtId="165" fontId="27" fillId="0" borderId="0" xfId="0" applyNumberFormat="1" applyFont="1" applyAlignment="1">
      <alignment vertical="center"/>
    </xf>
    <xf numFmtId="176" fontId="4" fillId="0" borderId="0" xfId="0" applyNumberFormat="1" applyFont="1" applyAlignment="1">
      <alignment vertical="center"/>
    </xf>
    <xf numFmtId="173" fontId="24" fillId="0" borderId="0" xfId="0" applyNumberFormat="1" applyFont="1" applyAlignment="1">
      <alignment vertical="center"/>
    </xf>
    <xf numFmtId="177" fontId="31" fillId="0" borderId="1" xfId="3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30" fillId="0" borderId="8" xfId="0" applyFont="1" applyBorder="1" applyAlignment="1">
      <alignment vertical="center" wrapText="1"/>
    </xf>
    <xf numFmtId="0" fontId="30" fillId="4" borderId="3" xfId="0" applyFont="1" applyFill="1" applyBorder="1" applyAlignment="1">
      <alignment vertical="center" wrapText="1"/>
    </xf>
    <xf numFmtId="0" fontId="30" fillId="4" borderId="11" xfId="0" applyFont="1" applyFill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37" fillId="6" borderId="12" xfId="0" applyFont="1" applyFill="1" applyBorder="1" applyAlignment="1">
      <alignment horizontal="center" vertical="center" wrapText="1"/>
    </xf>
    <xf numFmtId="3" fontId="21" fillId="0" borderId="19" xfId="0" applyNumberFormat="1" applyFont="1" applyBorder="1" applyAlignment="1">
      <alignment horizontal="center" vertical="center" wrapText="1"/>
    </xf>
    <xf numFmtId="0" fontId="30" fillId="0" borderId="15" xfId="2" applyFont="1" applyBorder="1" applyAlignment="1">
      <alignment vertical="center" wrapText="1"/>
    </xf>
    <xf numFmtId="0" fontId="28" fillId="0" borderId="15" xfId="2" applyFont="1" applyBorder="1" applyAlignment="1">
      <alignment vertical="center" wrapText="1"/>
    </xf>
    <xf numFmtId="10" fontId="26" fillId="3" borderId="15" xfId="2" applyNumberFormat="1" applyFont="1" applyFill="1" applyBorder="1" applyAlignment="1">
      <alignment horizontal="right" vertical="center" wrapText="1"/>
    </xf>
    <xf numFmtId="0" fontId="28" fillId="0" borderId="15" xfId="2" applyFont="1" applyBorder="1" applyAlignment="1">
      <alignment horizontal="right" vertical="center" wrapText="1"/>
    </xf>
    <xf numFmtId="0" fontId="30" fillId="0" borderId="15" xfId="2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49" fontId="20" fillId="0" borderId="0" xfId="0" applyNumberFormat="1" applyFont="1" applyAlignment="1">
      <alignment horizontal="right" vertical="center" wrapText="1"/>
    </xf>
    <xf numFmtId="49" fontId="12" fillId="0" borderId="0" xfId="0" applyNumberFormat="1" applyFont="1" applyAlignment="1">
      <alignment vertical="center" wrapText="1"/>
    </xf>
    <xf numFmtId="0" fontId="38" fillId="0" borderId="0" xfId="0" applyFont="1"/>
    <xf numFmtId="177" fontId="38" fillId="0" borderId="0" xfId="0" applyNumberFormat="1" applyFont="1"/>
    <xf numFmtId="0" fontId="38" fillId="0" borderId="0" xfId="0" applyFont="1" applyAlignment="1">
      <alignment wrapText="1"/>
    </xf>
    <xf numFmtId="0" fontId="38" fillId="0" borderId="0" xfId="0" applyFont="1" applyAlignment="1">
      <alignment horizontal="right"/>
    </xf>
    <xf numFmtId="177" fontId="0" fillId="0" borderId="0" xfId="0" applyNumberFormat="1"/>
    <xf numFmtId="180" fontId="31" fillId="0" borderId="1" xfId="0" applyNumberFormat="1" applyFont="1" applyBorder="1" applyAlignment="1">
      <alignment horizontal="center" vertical="center"/>
    </xf>
    <xf numFmtId="9" fontId="30" fillId="0" borderId="15" xfId="3" applyFont="1" applyBorder="1" applyAlignment="1">
      <alignment horizontal="right" vertical="center" wrapText="1"/>
    </xf>
    <xf numFmtId="9" fontId="25" fillId="0" borderId="1" xfId="3" applyFont="1" applyBorder="1" applyAlignment="1">
      <alignment vertical="center"/>
    </xf>
    <xf numFmtId="9" fontId="0" fillId="0" borderId="0" xfId="3" applyFont="1" applyAlignment="1">
      <alignment vertical="center"/>
    </xf>
    <xf numFmtId="9" fontId="30" fillId="0" borderId="15" xfId="3" applyFont="1" applyBorder="1" applyAlignment="1">
      <alignment vertical="center" wrapText="1"/>
    </xf>
    <xf numFmtId="9" fontId="3" fillId="0" borderId="1" xfId="3" applyFont="1" applyBorder="1" applyAlignment="1">
      <alignment vertical="center"/>
    </xf>
    <xf numFmtId="9" fontId="30" fillId="0" borderId="1" xfId="3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67" fontId="45" fillId="0" borderId="1" xfId="0" applyNumberFormat="1" applyFont="1" applyBorder="1" applyAlignment="1">
      <alignment horizontal="center" vertical="center"/>
    </xf>
    <xf numFmtId="167" fontId="46" fillId="4" borderId="1" xfId="0" applyNumberFormat="1" applyFont="1" applyFill="1" applyBorder="1" applyAlignment="1">
      <alignment horizontal="center" vertical="center"/>
    </xf>
    <xf numFmtId="0" fontId="47" fillId="0" borderId="25" xfId="2" applyFont="1" applyBorder="1" applyAlignment="1">
      <alignment vertical="center" wrapText="1"/>
    </xf>
    <xf numFmtId="181" fontId="22" fillId="0" borderId="0" xfId="1" applyNumberFormat="1" applyFont="1" applyAlignment="1">
      <alignment horizontal="left" vertical="center"/>
    </xf>
    <xf numFmtId="0" fontId="4" fillId="0" borderId="8" xfId="0" applyFont="1" applyBorder="1" applyAlignment="1">
      <alignment vertical="center" wrapText="1"/>
    </xf>
    <xf numFmtId="170" fontId="15" fillId="0" borderId="9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181" fontId="22" fillId="0" borderId="29" xfId="1" applyNumberFormat="1" applyFont="1" applyBorder="1" applyAlignment="1">
      <alignment horizontal="left" vertical="center"/>
    </xf>
    <xf numFmtId="0" fontId="0" fillId="0" borderId="3" xfId="0" applyBorder="1" applyAlignment="1">
      <alignment horizontal="right" vertical="center" wrapText="1"/>
    </xf>
    <xf numFmtId="0" fontId="0" fillId="0" borderId="8" xfId="0" applyBorder="1" applyAlignment="1">
      <alignment vertical="center" wrapText="1"/>
    </xf>
    <xf numFmtId="181" fontId="22" fillId="0" borderId="9" xfId="1" applyNumberFormat="1" applyFont="1" applyBorder="1" applyAlignment="1">
      <alignment horizontal="left" vertical="center"/>
    </xf>
    <xf numFmtId="166" fontId="18" fillId="0" borderId="0" xfId="0" applyNumberFormat="1" applyFont="1" applyAlignment="1">
      <alignment vertical="center"/>
    </xf>
    <xf numFmtId="0" fontId="53" fillId="0" borderId="0" xfId="5" applyFont="1"/>
    <xf numFmtId="0" fontId="54" fillId="0" borderId="0" xfId="5" applyFont="1" applyAlignment="1">
      <alignment horizontal="right"/>
    </xf>
    <xf numFmtId="0" fontId="55" fillId="10" borderId="0" xfId="5" applyFont="1" applyFill="1" applyAlignment="1">
      <alignment horizontal="left"/>
    </xf>
    <xf numFmtId="0" fontId="56" fillId="10" borderId="0" xfId="5" applyFont="1" applyFill="1" applyAlignment="1">
      <alignment horizontal="left"/>
    </xf>
    <xf numFmtId="0" fontId="53" fillId="0" borderId="0" xfId="5" applyFont="1" applyAlignment="1">
      <alignment horizontal="center"/>
    </xf>
    <xf numFmtId="0" fontId="53" fillId="11" borderId="0" xfId="5" applyFont="1" applyFill="1" applyAlignment="1">
      <alignment horizontal="center"/>
    </xf>
    <xf numFmtId="49" fontId="53" fillId="0" borderId="0" xfId="5" applyNumberFormat="1" applyFont="1"/>
    <xf numFmtId="49" fontId="57" fillId="0" borderId="0" xfId="5" applyNumberFormat="1" applyFont="1"/>
    <xf numFmtId="4" fontId="58" fillId="0" borderId="0" xfId="5" applyNumberFormat="1" applyFont="1" applyAlignment="1">
      <alignment horizontal="center" vertical="center"/>
    </xf>
    <xf numFmtId="3" fontId="57" fillId="0" borderId="2" xfId="5" applyNumberFormat="1" applyFont="1" applyBorder="1" applyAlignment="1">
      <alignment horizontal="center"/>
    </xf>
    <xf numFmtId="3" fontId="53" fillId="0" borderId="2" xfId="5" applyNumberFormat="1" applyFont="1" applyBorder="1" applyAlignment="1">
      <alignment horizontal="center"/>
    </xf>
    <xf numFmtId="0" fontId="59" fillId="0" borderId="0" xfId="5" applyFont="1"/>
    <xf numFmtId="3" fontId="59" fillId="0" borderId="2" xfId="5" applyNumberFormat="1" applyFont="1" applyBorder="1" applyAlignment="1">
      <alignment horizontal="center"/>
    </xf>
    <xf numFmtId="0" fontId="60" fillId="0" borderId="0" xfId="5" applyFont="1"/>
    <xf numFmtId="49" fontId="60" fillId="0" borderId="0" xfId="5" applyNumberFormat="1" applyFont="1"/>
    <xf numFmtId="3" fontId="53" fillId="0" borderId="0" xfId="5" applyNumberFormat="1" applyFont="1"/>
    <xf numFmtId="1" fontId="53" fillId="0" borderId="0" xfId="5" applyNumberFormat="1" applyFont="1"/>
    <xf numFmtId="182" fontId="0" fillId="0" borderId="0" xfId="0" applyNumberFormat="1" applyAlignment="1">
      <alignment vertical="center"/>
    </xf>
    <xf numFmtId="0" fontId="61" fillId="0" borderId="0" xfId="0" applyFont="1" applyAlignment="1">
      <alignment horizontal="left"/>
    </xf>
    <xf numFmtId="0" fontId="50" fillId="0" borderId="0" xfId="0" applyFont="1"/>
    <xf numFmtId="164" fontId="53" fillId="0" borderId="0" xfId="1" applyFont="1"/>
    <xf numFmtId="10" fontId="62" fillId="12" borderId="30" xfId="0" applyNumberFormat="1" applyFont="1" applyFill="1" applyBorder="1" applyAlignment="1">
      <alignment horizontal="center" vertical="center"/>
    </xf>
    <xf numFmtId="0" fontId="0" fillId="13" borderId="9" xfId="0" applyFill="1" applyBorder="1"/>
    <xf numFmtId="0" fontId="0" fillId="13" borderId="7" xfId="0" applyFill="1" applyBorder="1"/>
    <xf numFmtId="0" fontId="0" fillId="13" borderId="3" xfId="0" applyFill="1" applyBorder="1"/>
    <xf numFmtId="0" fontId="0" fillId="13" borderId="0" xfId="0" applyFill="1"/>
    <xf numFmtId="0" fontId="0" fillId="13" borderId="27" xfId="0" applyFill="1" applyBorder="1"/>
    <xf numFmtId="10" fontId="0" fillId="13" borderId="0" xfId="0" applyNumberFormat="1" applyFill="1"/>
    <xf numFmtId="183" fontId="0" fillId="13" borderId="0" xfId="0" applyNumberFormat="1" applyFill="1"/>
    <xf numFmtId="0" fontId="64" fillId="13" borderId="3" xfId="4" applyFont="1" applyFill="1" applyBorder="1"/>
    <xf numFmtId="0" fontId="0" fillId="13" borderId="10" xfId="0" applyFill="1" applyBorder="1"/>
    <xf numFmtId="0" fontId="0" fillId="13" borderId="29" xfId="0" applyFill="1" applyBorder="1"/>
    <xf numFmtId="0" fontId="0" fillId="13" borderId="28" xfId="0" applyFill="1" applyBorder="1"/>
    <xf numFmtId="0" fontId="62" fillId="12" borderId="11" xfId="0" applyFont="1" applyFill="1" applyBorder="1" applyAlignment="1">
      <alignment horizontal="center" vertical="center" wrapText="1"/>
    </xf>
    <xf numFmtId="0" fontId="41" fillId="13" borderId="11" xfId="0" applyFont="1" applyFill="1" applyBorder="1" applyAlignment="1">
      <alignment horizontal="center" vertical="center"/>
    </xf>
    <xf numFmtId="10" fontId="0" fillId="13" borderId="27" xfId="0" applyNumberFormat="1" applyFill="1" applyBorder="1" applyAlignment="1">
      <alignment horizontal="center" vertical="center"/>
    </xf>
    <xf numFmtId="0" fontId="63" fillId="13" borderId="3" xfId="4" applyFont="1" applyFill="1" applyBorder="1" applyAlignment="1">
      <alignment horizontal="left" vertical="center"/>
    </xf>
    <xf numFmtId="0" fontId="65" fillId="13" borderId="0" xfId="4" applyFont="1" applyFill="1" applyAlignment="1">
      <alignment horizontal="center" vertical="center" wrapText="1"/>
    </xf>
    <xf numFmtId="9" fontId="50" fillId="0" borderId="0" xfId="3" applyFont="1" applyAlignment="1">
      <alignment horizontal="center"/>
    </xf>
    <xf numFmtId="184" fontId="50" fillId="0" borderId="0" xfId="0" applyNumberFormat="1" applyFont="1"/>
    <xf numFmtId="3" fontId="50" fillId="0" borderId="0" xfId="0" applyNumberFormat="1" applyFont="1"/>
    <xf numFmtId="183" fontId="53" fillId="0" borderId="0" xfId="5" applyNumberFormat="1" applyFont="1"/>
    <xf numFmtId="185" fontId="50" fillId="0" borderId="0" xfId="0" applyNumberFormat="1" applyFont="1"/>
    <xf numFmtId="9" fontId="52" fillId="0" borderId="0" xfId="3" applyFont="1" applyAlignment="1">
      <alignment horizontal="center"/>
    </xf>
    <xf numFmtId="3" fontId="66" fillId="0" borderId="0" xfId="0" applyNumberFormat="1" applyFont="1" applyAlignment="1">
      <alignment horizontal="center" vertical="center"/>
    </xf>
    <xf numFmtId="3" fontId="67" fillId="0" borderId="0" xfId="0" applyNumberFormat="1" applyFont="1" applyAlignment="1">
      <alignment horizontal="left" vertical="center" wrapText="1"/>
    </xf>
    <xf numFmtId="166" fontId="68" fillId="0" borderId="0" xfId="2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49" fontId="25" fillId="0" borderId="8" xfId="0" applyNumberFormat="1" applyFont="1" applyBorder="1" applyAlignment="1">
      <alignment vertical="center" wrapText="1"/>
    </xf>
    <xf numFmtId="166" fontId="28" fillId="0" borderId="9" xfId="2" applyNumberFormat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166" fontId="28" fillId="0" borderId="0" xfId="0" applyNumberFormat="1" applyFont="1" applyAlignment="1">
      <alignment vertical="center"/>
    </xf>
    <xf numFmtId="0" fontId="70" fillId="0" borderId="0" xfId="0" applyFont="1" applyAlignment="1">
      <alignment vertical="center"/>
    </xf>
    <xf numFmtId="49" fontId="28" fillId="0" borderId="3" xfId="0" applyNumberFormat="1" applyFont="1" applyBorder="1" applyAlignment="1">
      <alignment vertical="center" wrapText="1"/>
    </xf>
    <xf numFmtId="166" fontId="28" fillId="0" borderId="0" xfId="2" applyNumberFormat="1" applyFont="1" applyAlignment="1">
      <alignment horizontal="center" vertical="center"/>
    </xf>
    <xf numFmtId="49" fontId="71" fillId="0" borderId="3" xfId="0" applyNumberFormat="1" applyFont="1" applyBorder="1" applyAlignment="1">
      <alignment vertical="center" wrapText="1"/>
    </xf>
    <xf numFmtId="9" fontId="71" fillId="0" borderId="0" xfId="3" applyFont="1" applyAlignment="1">
      <alignment horizontal="center" vertical="center"/>
    </xf>
    <xf numFmtId="166" fontId="71" fillId="0" borderId="0" xfId="2" applyNumberFormat="1" applyFont="1" applyAlignment="1">
      <alignment horizontal="center" vertical="center"/>
    </xf>
    <xf numFmtId="49" fontId="25" fillId="0" borderId="3" xfId="0" applyNumberFormat="1" applyFont="1" applyBorder="1" applyAlignment="1">
      <alignment vertical="center" wrapText="1"/>
    </xf>
    <xf numFmtId="9" fontId="28" fillId="0" borderId="0" xfId="3" applyFont="1" applyAlignment="1">
      <alignment horizontal="center" vertical="center"/>
    </xf>
    <xf numFmtId="3" fontId="67" fillId="0" borderId="3" xfId="0" applyNumberFormat="1" applyFont="1" applyBorder="1" applyAlignment="1">
      <alignment horizontal="left" vertical="center" wrapText="1"/>
    </xf>
    <xf numFmtId="166" fontId="72" fillId="0" borderId="0" xfId="2" applyNumberFormat="1" applyFont="1" applyAlignment="1">
      <alignment horizontal="center" vertical="center"/>
    </xf>
    <xf numFmtId="49" fontId="30" fillId="0" borderId="3" xfId="0" applyNumberFormat="1" applyFont="1" applyBorder="1" applyAlignment="1">
      <alignment vertical="center" wrapText="1"/>
    </xf>
    <xf numFmtId="0" fontId="30" fillId="0" borderId="0" xfId="0" applyFont="1" applyAlignment="1">
      <alignment vertical="center"/>
    </xf>
    <xf numFmtId="49" fontId="25" fillId="0" borderId="10" xfId="0" applyNumberFormat="1" applyFont="1" applyBorder="1" applyAlignment="1">
      <alignment vertical="center" wrapText="1"/>
    </xf>
    <xf numFmtId="166" fontId="28" fillId="0" borderId="29" xfId="2" applyNumberFormat="1" applyFont="1" applyBorder="1" applyAlignment="1">
      <alignment horizontal="center" vertical="center"/>
    </xf>
    <xf numFmtId="0" fontId="73" fillId="0" borderId="0" xfId="5" applyFont="1"/>
    <xf numFmtId="0" fontId="74" fillId="0" borderId="0" xfId="5" applyFont="1"/>
    <xf numFmtId="3" fontId="75" fillId="0" borderId="2" xfId="5" applyNumberFormat="1" applyFont="1" applyBorder="1" applyAlignment="1">
      <alignment horizontal="center"/>
    </xf>
    <xf numFmtId="0" fontId="78" fillId="0" borderId="0" xfId="0" applyFont="1" applyAlignment="1">
      <alignment horizontal="center"/>
    </xf>
    <xf numFmtId="0" fontId="79" fillId="0" borderId="0" xfId="0" applyFont="1"/>
    <xf numFmtId="0" fontId="0" fillId="0" borderId="0" xfId="0" applyAlignment="1">
      <alignment horizontal="center"/>
    </xf>
    <xf numFmtId="0" fontId="79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79" fillId="0" borderId="0" xfId="0" applyFont="1" applyAlignment="1">
      <alignment horizontal="center" wrapText="1"/>
    </xf>
    <xf numFmtId="0" fontId="80" fillId="8" borderId="2" xfId="0" applyFont="1" applyFill="1" applyBorder="1"/>
    <xf numFmtId="0" fontId="79" fillId="8" borderId="2" xfId="0" applyFont="1" applyFill="1" applyBorder="1" applyAlignment="1">
      <alignment horizontal="center"/>
    </xf>
    <xf numFmtId="0" fontId="0" fillId="8" borderId="39" xfId="0" applyFill="1" applyBorder="1"/>
    <xf numFmtId="172" fontId="80" fillId="8" borderId="34" xfId="0" applyNumberFormat="1" applyFont="1" applyFill="1" applyBorder="1"/>
    <xf numFmtId="0" fontId="0" fillId="8" borderId="40" xfId="0" applyFill="1" applyBorder="1"/>
    <xf numFmtId="0" fontId="80" fillId="8" borderId="35" xfId="0" applyFont="1" applyFill="1" applyBorder="1"/>
    <xf numFmtId="0" fontId="79" fillId="8" borderId="35" xfId="0" applyFont="1" applyFill="1" applyBorder="1" applyAlignment="1">
      <alignment horizontal="center"/>
    </xf>
    <xf numFmtId="186" fontId="80" fillId="8" borderId="36" xfId="0" applyNumberFormat="1" applyFont="1" applyFill="1" applyBorder="1"/>
    <xf numFmtId="0" fontId="0" fillId="8" borderId="41" xfId="0" applyFill="1" applyBorder="1"/>
    <xf numFmtId="164" fontId="0" fillId="13" borderId="29" xfId="1" applyFont="1" applyFill="1" applyBorder="1" applyAlignment="1">
      <alignment horizontal="center"/>
    </xf>
    <xf numFmtId="0" fontId="80" fillId="8" borderId="33" xfId="0" applyFont="1" applyFill="1" applyBorder="1" applyAlignment="1">
      <alignment horizontal="center" vertical="center" wrapText="1"/>
    </xf>
    <xf numFmtId="9" fontId="80" fillId="8" borderId="34" xfId="3" applyFont="1" applyFill="1" applyBorder="1" applyAlignment="1">
      <alignment horizontal="center" wrapText="1"/>
    </xf>
    <xf numFmtId="9" fontId="80" fillId="8" borderId="34" xfId="3" applyFont="1" applyFill="1" applyBorder="1"/>
    <xf numFmtId="9" fontId="80" fillId="8" borderId="36" xfId="3" applyFont="1" applyFill="1" applyBorder="1"/>
    <xf numFmtId="0" fontId="81" fillId="8" borderId="38" xfId="0" applyFont="1" applyFill="1" applyBorder="1" applyAlignment="1">
      <alignment horizontal="center" vertical="center" wrapText="1"/>
    </xf>
    <xf numFmtId="0" fontId="78" fillId="0" borderId="0" xfId="0" applyFont="1" applyAlignment="1">
      <alignment horizontal="left" vertical="center" wrapText="1"/>
    </xf>
    <xf numFmtId="172" fontId="0" fillId="0" borderId="0" xfId="0" applyNumberFormat="1"/>
    <xf numFmtId="0" fontId="80" fillId="8" borderId="32" xfId="0" applyFont="1" applyFill="1" applyBorder="1" applyAlignment="1">
      <alignment horizontal="center" vertical="center" wrapText="1"/>
    </xf>
    <xf numFmtId="177" fontId="80" fillId="8" borderId="37" xfId="0" applyNumberFormat="1" applyFont="1" applyFill="1" applyBorder="1"/>
    <xf numFmtId="49" fontId="25" fillId="0" borderId="3" xfId="0" applyNumberFormat="1" applyFont="1" applyBorder="1" applyAlignment="1">
      <alignment vertical="top" wrapText="1"/>
    </xf>
    <xf numFmtId="49" fontId="26" fillId="0" borderId="3" xfId="0" applyNumberFormat="1" applyFont="1" applyBorder="1" applyAlignment="1">
      <alignment vertical="center" wrapText="1"/>
    </xf>
    <xf numFmtId="49" fontId="84" fillId="0" borderId="3" xfId="0" applyNumberFormat="1" applyFont="1" applyBorder="1" applyAlignment="1">
      <alignment vertical="center" wrapText="1"/>
    </xf>
    <xf numFmtId="49" fontId="30" fillId="0" borderId="10" xfId="0" applyNumberFormat="1" applyFont="1" applyBorder="1" applyAlignment="1">
      <alignment vertical="center" wrapText="1"/>
    </xf>
    <xf numFmtId="166" fontId="14" fillId="0" borderId="29" xfId="2" applyNumberFormat="1" applyFont="1" applyBorder="1" applyAlignment="1">
      <alignment horizontal="center" vertical="center"/>
    </xf>
    <xf numFmtId="9" fontId="80" fillId="8" borderId="34" xfId="3" applyFont="1" applyFill="1" applyBorder="1" applyAlignment="1">
      <alignment horizontal="center"/>
    </xf>
    <xf numFmtId="189" fontId="4" fillId="4" borderId="0" xfId="0" applyNumberFormat="1" applyFont="1" applyFill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30" fillId="4" borderId="0" xfId="0" applyFont="1" applyFill="1" applyAlignment="1">
      <alignment vertical="center" wrapText="1"/>
    </xf>
    <xf numFmtId="0" fontId="30" fillId="4" borderId="8" xfId="0" applyFont="1" applyFill="1" applyBorder="1" applyAlignment="1">
      <alignment vertical="center" wrapText="1"/>
    </xf>
    <xf numFmtId="0" fontId="30" fillId="4" borderId="9" xfId="0" applyFont="1" applyFill="1" applyBorder="1" applyAlignment="1">
      <alignment vertical="center"/>
    </xf>
    <xf numFmtId="0" fontId="30" fillId="4" borderId="30" xfId="0" applyFont="1" applyFill="1" applyBorder="1" applyAlignment="1">
      <alignment vertical="center"/>
    </xf>
    <xf numFmtId="0" fontId="30" fillId="0" borderId="3" xfId="0" applyFont="1" applyBorder="1" applyAlignment="1">
      <alignment vertical="center" wrapText="1"/>
    </xf>
    <xf numFmtId="0" fontId="30" fillId="4" borderId="4" xfId="0" applyFont="1" applyFill="1" applyBorder="1" applyAlignment="1">
      <alignment vertical="center" wrapText="1"/>
    </xf>
    <xf numFmtId="0" fontId="30" fillId="4" borderId="9" xfId="0" applyFont="1" applyFill="1" applyBorder="1" applyAlignment="1">
      <alignment vertical="center" wrapText="1"/>
    </xf>
    <xf numFmtId="0" fontId="41" fillId="13" borderId="30" xfId="0" applyFont="1" applyFill="1" applyBorder="1" applyAlignment="1">
      <alignment horizontal="center" vertical="center" wrapText="1"/>
    </xf>
    <xf numFmtId="167" fontId="45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vertical="center" wrapText="1"/>
    </xf>
    <xf numFmtId="167" fontId="46" fillId="0" borderId="0" xfId="0" applyNumberFormat="1" applyFont="1" applyAlignment="1">
      <alignment horizontal="center" vertical="center"/>
    </xf>
    <xf numFmtId="10" fontId="45" fillId="0" borderId="0" xfId="0" applyNumberFormat="1" applyFont="1" applyAlignment="1">
      <alignment horizontal="center" vertical="center"/>
    </xf>
    <xf numFmtId="164" fontId="0" fillId="0" borderId="0" xfId="1" applyFont="1" applyAlignment="1">
      <alignment vertical="center"/>
    </xf>
    <xf numFmtId="0" fontId="30" fillId="0" borderId="0" xfId="0" applyFont="1" applyAlignment="1">
      <alignment vertical="center" wrapText="1"/>
    </xf>
    <xf numFmtId="0" fontId="30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30" fillId="4" borderId="10" xfId="0" applyFont="1" applyFill="1" applyBorder="1" applyAlignment="1">
      <alignment vertical="center" wrapText="1"/>
    </xf>
    <xf numFmtId="0" fontId="30" fillId="4" borderId="28" xfId="0" applyFont="1" applyFill="1" applyBorder="1" applyAlignment="1">
      <alignment vertical="center"/>
    </xf>
    <xf numFmtId="3" fontId="45" fillId="4" borderId="1" xfId="0" applyNumberFormat="1" applyFont="1" applyFill="1" applyBorder="1" applyAlignment="1">
      <alignment horizontal="center" vertical="center"/>
    </xf>
    <xf numFmtId="168" fontId="28" fillId="14" borderId="0" xfId="3" applyNumberFormat="1" applyFont="1" applyFill="1" applyAlignment="1">
      <alignment horizontal="center" vertical="center"/>
    </xf>
    <xf numFmtId="10" fontId="0" fillId="0" borderId="0" xfId="0" applyNumberFormat="1"/>
    <xf numFmtId="0" fontId="88" fillId="0" borderId="0" xfId="0" applyFont="1" applyAlignment="1">
      <alignment vertical="center"/>
    </xf>
    <xf numFmtId="0" fontId="89" fillId="0" borderId="0" xfId="0" applyFont="1"/>
    <xf numFmtId="0" fontId="88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0" fontId="86" fillId="0" borderId="0" xfId="0" applyFont="1" applyAlignment="1">
      <alignment horizontal="center"/>
    </xf>
    <xf numFmtId="2" fontId="1" fillId="0" borderId="0" xfId="0" applyNumberFormat="1" applyFont="1"/>
    <xf numFmtId="9" fontId="87" fillId="0" borderId="0" xfId="3" applyFont="1" applyFill="1" applyBorder="1" applyAlignment="1">
      <alignment horizontal="center"/>
    </xf>
    <xf numFmtId="0" fontId="45" fillId="0" borderId="17" xfId="0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15" xfId="0" applyFont="1" applyBorder="1" applyAlignment="1">
      <alignment vertical="center" wrapText="1"/>
    </xf>
    <xf numFmtId="0" fontId="46" fillId="0" borderId="15" xfId="0" applyFont="1" applyBorder="1" applyAlignment="1">
      <alignment vertical="center" wrapText="1"/>
    </xf>
    <xf numFmtId="0" fontId="91" fillId="0" borderId="15" xfId="0" applyFont="1" applyBorder="1" applyAlignment="1">
      <alignment horizontal="right" vertical="center" wrapText="1"/>
    </xf>
    <xf numFmtId="0" fontId="91" fillId="0" borderId="19" xfId="0" applyFont="1" applyBorder="1" applyAlignment="1">
      <alignment horizontal="right" vertical="center" wrapText="1"/>
    </xf>
    <xf numFmtId="0" fontId="92" fillId="0" borderId="0" xfId="5" applyFont="1"/>
    <xf numFmtId="172" fontId="0" fillId="0" borderId="0" xfId="1" applyNumberFormat="1" applyFont="1"/>
    <xf numFmtId="0" fontId="27" fillId="0" borderId="0" xfId="0" applyFont="1" applyAlignment="1">
      <alignment vertical="center"/>
    </xf>
    <xf numFmtId="0" fontId="44" fillId="0" borderId="0" xfId="0" applyFont="1" applyAlignment="1">
      <alignment vertical="center" wrapText="1"/>
    </xf>
    <xf numFmtId="190" fontId="83" fillId="0" borderId="0" xfId="1" applyNumberFormat="1" applyFont="1" applyFill="1" applyBorder="1" applyAlignment="1">
      <alignment vertical="center"/>
    </xf>
    <xf numFmtId="191" fontId="76" fillId="0" borderId="0" xfId="0" applyNumberFormat="1" applyFont="1" applyAlignment="1">
      <alignment vertical="center" wrapText="1"/>
    </xf>
    <xf numFmtId="187" fontId="83" fillId="0" borderId="0" xfId="1" applyNumberFormat="1" applyFont="1" applyFill="1" applyBorder="1" applyAlignment="1">
      <alignment vertical="center"/>
    </xf>
    <xf numFmtId="188" fontId="44" fillId="0" borderId="0" xfId="0" applyNumberFormat="1" applyFont="1" applyAlignment="1">
      <alignment vertical="center" wrapText="1"/>
    </xf>
    <xf numFmtId="0" fontId="76" fillId="0" borderId="0" xfId="0" applyFont="1" applyAlignment="1">
      <alignment vertical="center" wrapText="1"/>
    </xf>
    <xf numFmtId="188" fontId="76" fillId="0" borderId="0" xfId="0" applyNumberFormat="1" applyFont="1" applyAlignment="1">
      <alignment vertical="center" wrapText="1"/>
    </xf>
    <xf numFmtId="0" fontId="82" fillId="0" borderId="0" xfId="0" applyFont="1" applyAlignment="1">
      <alignment vertical="center" wrapText="1"/>
    </xf>
    <xf numFmtId="188" fontId="82" fillId="0" borderId="0" xfId="0" applyNumberFormat="1" applyFont="1" applyAlignment="1">
      <alignment vertical="center" wrapText="1"/>
    </xf>
    <xf numFmtId="0" fontId="77" fillId="0" borderId="0" xfId="0" applyFont="1" applyAlignment="1">
      <alignment horizontal="left" vertical="center" wrapText="1"/>
    </xf>
    <xf numFmtId="188" fontId="77" fillId="0" borderId="0" xfId="0" applyNumberFormat="1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168" fontId="0" fillId="0" borderId="0" xfId="0" applyNumberFormat="1" applyAlignment="1">
      <alignment horizontal="right"/>
    </xf>
    <xf numFmtId="0" fontId="37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179" fontId="0" fillId="0" borderId="34" xfId="0" applyNumberFormat="1" applyBorder="1" applyAlignment="1">
      <alignment horizontal="right" vertical="center"/>
    </xf>
    <xf numFmtId="0" fontId="0" fillId="4" borderId="0" xfId="0" applyFill="1"/>
    <xf numFmtId="0" fontId="40" fillId="0" borderId="0" xfId="0" applyFont="1" applyAlignment="1">
      <alignment horizontal="center" wrapText="1"/>
    </xf>
    <xf numFmtId="0" fontId="0" fillId="0" borderId="3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93" fontId="38" fillId="0" borderId="34" xfId="7" applyNumberFormat="1" applyFont="1" applyFill="1" applyBorder="1" applyAlignment="1">
      <alignment horizontal="center"/>
    </xf>
    <xf numFmtId="0" fontId="81" fillId="0" borderId="50" xfId="0" applyFont="1" applyBorder="1" applyAlignment="1">
      <alignment horizontal="center" vertical="center" wrapText="1"/>
    </xf>
    <xf numFmtId="0" fontId="81" fillId="0" borderId="29" xfId="0" applyFont="1" applyBorder="1" applyAlignment="1">
      <alignment horizontal="center" vertical="center" wrapText="1"/>
    </xf>
    <xf numFmtId="193" fontId="38" fillId="0" borderId="0" xfId="7" applyNumberFormat="1" applyFont="1" applyFill="1" applyBorder="1" applyAlignment="1">
      <alignment horizontal="center"/>
    </xf>
    <xf numFmtId="177" fontId="38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85" fillId="0" borderId="0" xfId="0" applyFont="1" applyAlignment="1">
      <alignment wrapText="1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177" fontId="3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wrapText="1"/>
    </xf>
    <xf numFmtId="177" fontId="42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right" wrapText="1"/>
    </xf>
    <xf numFmtId="0" fontId="38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0" fontId="47" fillId="0" borderId="26" xfId="0" applyNumberFormat="1" applyFont="1" applyBorder="1" applyAlignment="1">
      <alignment horizontal="center" vertical="center"/>
    </xf>
    <xf numFmtId="167" fontId="46" fillId="4" borderId="0" xfId="0" applyNumberFormat="1" applyFont="1" applyFill="1" applyAlignment="1">
      <alignment horizontal="center" vertical="center"/>
    </xf>
    <xf numFmtId="10" fontId="45" fillId="4" borderId="0" xfId="0" applyNumberFormat="1" applyFont="1" applyFill="1" applyAlignment="1">
      <alignment horizontal="center" vertical="center"/>
    </xf>
    <xf numFmtId="164" fontId="0" fillId="0" borderId="0" xfId="1" applyFont="1"/>
    <xf numFmtId="167" fontId="0" fillId="0" borderId="0" xfId="0" applyNumberFormat="1"/>
    <xf numFmtId="167" fontId="0" fillId="0" borderId="0" xfId="0" applyNumberFormat="1" applyAlignment="1">
      <alignment horizontal="right"/>
    </xf>
    <xf numFmtId="164" fontId="0" fillId="0" borderId="0" xfId="0" applyNumberFormat="1"/>
    <xf numFmtId="193" fontId="0" fillId="0" borderId="34" xfId="7" applyNumberFormat="1" applyFont="1" applyFill="1" applyBorder="1"/>
    <xf numFmtId="0" fontId="0" fillId="0" borderId="39" xfId="0" applyBorder="1" applyAlignment="1">
      <alignment wrapText="1"/>
    </xf>
    <xf numFmtId="193" fontId="0" fillId="0" borderId="0" xfId="7" applyNumberFormat="1" applyFont="1" applyBorder="1"/>
    <xf numFmtId="194" fontId="0" fillId="0" borderId="0" xfId="0" applyNumberFormat="1" applyAlignment="1">
      <alignment horizontal="right" vertical="center"/>
    </xf>
    <xf numFmtId="0" fontId="3" fillId="0" borderId="6" xfId="0" applyFont="1" applyBorder="1" applyAlignment="1">
      <alignment vertical="center"/>
    </xf>
    <xf numFmtId="177" fontId="31" fillId="0" borderId="6" xfId="3" applyNumberFormat="1" applyFont="1" applyBorder="1" applyAlignment="1">
      <alignment horizontal="center" vertical="center"/>
    </xf>
    <xf numFmtId="0" fontId="32" fillId="0" borderId="35" xfId="0" applyFont="1" applyBorder="1" applyAlignment="1">
      <alignment vertical="center"/>
    </xf>
    <xf numFmtId="172" fontId="0" fillId="0" borderId="0" xfId="1" applyNumberFormat="1" applyFont="1" applyBorder="1"/>
    <xf numFmtId="0" fontId="53" fillId="0" borderId="0" xfId="8" applyFont="1"/>
    <xf numFmtId="0" fontId="79" fillId="8" borderId="2" xfId="0" applyFont="1" applyFill="1" applyBorder="1" applyAlignment="1">
      <alignment horizontal="right"/>
    </xf>
    <xf numFmtId="172" fontId="79" fillId="8" borderId="34" xfId="0" applyNumberFormat="1" applyFont="1" applyFill="1" applyBorder="1"/>
    <xf numFmtId="0" fontId="78" fillId="0" borderId="0" xfId="0" applyFont="1" applyAlignment="1">
      <alignment vertical="center" wrapText="1"/>
    </xf>
    <xf numFmtId="0" fontId="78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 vertical="center" wrapText="1"/>
    </xf>
    <xf numFmtId="0" fontId="0" fillId="15" borderId="39" xfId="0" applyFill="1" applyBorder="1" applyAlignment="1">
      <alignment wrapText="1"/>
    </xf>
    <xf numFmtId="193" fontId="0" fillId="15" borderId="34" xfId="7" applyNumberFormat="1" applyFont="1" applyFill="1" applyBorder="1"/>
    <xf numFmtId="193" fontId="0" fillId="0" borderId="0" xfId="0" applyNumberFormat="1"/>
    <xf numFmtId="178" fontId="0" fillId="0" borderId="0" xfId="0" applyNumberFormat="1" applyAlignment="1">
      <alignment horizontal="right"/>
    </xf>
    <xf numFmtId="192" fontId="0" fillId="0" borderId="0" xfId="0" applyNumberFormat="1" applyAlignment="1">
      <alignment horizontal="right" vertical="center"/>
    </xf>
    <xf numFmtId="169" fontId="0" fillId="0" borderId="0" xfId="0" applyNumberFormat="1" applyAlignment="1">
      <alignment horizontal="right" vertical="center"/>
    </xf>
    <xf numFmtId="193" fontId="0" fillId="0" borderId="0" xfId="0" applyNumberFormat="1" applyAlignment="1">
      <alignment horizontal="left"/>
    </xf>
    <xf numFmtId="193" fontId="0" fillId="0" borderId="0" xfId="0" applyNumberFormat="1" applyAlignment="1">
      <alignment horizontal="right"/>
    </xf>
    <xf numFmtId="0" fontId="38" fillId="0" borderId="0" xfId="0" applyFont="1" applyAlignment="1">
      <alignment horizontal="right" wrapText="1"/>
    </xf>
    <xf numFmtId="195" fontId="0" fillId="0" borderId="0" xfId="0" applyNumberFormat="1"/>
    <xf numFmtId="168" fontId="0" fillId="0" borderId="35" xfId="0" applyNumberFormat="1" applyBorder="1" applyAlignment="1">
      <alignment horizontal="right"/>
    </xf>
    <xf numFmtId="0" fontId="93" fillId="0" borderId="50" xfId="2" applyFont="1" applyBorder="1" applyAlignment="1">
      <alignment vertical="center" wrapText="1"/>
    </xf>
    <xf numFmtId="0" fontId="94" fillId="0" borderId="50" xfId="2" applyFont="1" applyBorder="1" applyAlignment="1">
      <alignment vertical="center" wrapText="1"/>
    </xf>
    <xf numFmtId="0" fontId="94" fillId="0" borderId="39" xfId="2" applyFont="1" applyBorder="1" applyAlignment="1">
      <alignment vertical="center" wrapText="1"/>
    </xf>
    <xf numFmtId="178" fontId="0" fillId="0" borderId="30" xfId="0" applyNumberFormat="1" applyBorder="1" applyAlignment="1">
      <alignment horizontal="right"/>
    </xf>
    <xf numFmtId="0" fontId="38" fillId="15" borderId="39" xfId="0" applyFont="1" applyFill="1" applyBorder="1" applyAlignment="1">
      <alignment horizontal="left" wrapText="1"/>
    </xf>
    <xf numFmtId="0" fontId="45" fillId="0" borderId="15" xfId="2" applyFont="1" applyBorder="1" applyAlignment="1">
      <alignment horizontal="right" vertical="center" wrapText="1" indent="3"/>
    </xf>
    <xf numFmtId="177" fontId="31" fillId="0" borderId="2" xfId="3" applyNumberFormat="1" applyFont="1" applyBorder="1" applyAlignment="1">
      <alignment horizontal="center" vertical="center"/>
    </xf>
    <xf numFmtId="166" fontId="46" fillId="0" borderId="5" xfId="2" applyNumberFormat="1" applyFont="1" applyBorder="1" applyAlignment="1">
      <alignment horizontal="right" vertical="center"/>
    </xf>
    <xf numFmtId="166" fontId="46" fillId="0" borderId="1" xfId="2" applyNumberFormat="1" applyFont="1" applyBorder="1" applyAlignment="1">
      <alignment horizontal="right" vertical="center"/>
    </xf>
    <xf numFmtId="166" fontId="47" fillId="0" borderId="1" xfId="2" applyNumberFormat="1" applyFont="1" applyBorder="1" applyAlignment="1">
      <alignment horizontal="right" vertical="center"/>
    </xf>
    <xf numFmtId="166" fontId="45" fillId="0" borderId="1" xfId="2" applyNumberFormat="1" applyFont="1" applyBorder="1" applyAlignment="1">
      <alignment horizontal="right" vertical="center"/>
    </xf>
    <xf numFmtId="9" fontId="95" fillId="0" borderId="1" xfId="3" applyFont="1" applyBorder="1" applyAlignment="1">
      <alignment horizontal="right" vertical="center"/>
    </xf>
    <xf numFmtId="166" fontId="46" fillId="0" borderId="0" xfId="2" applyNumberFormat="1" applyFont="1" applyAlignment="1">
      <alignment horizontal="right" vertical="center"/>
    </xf>
    <xf numFmtId="182" fontId="96" fillId="0" borderId="9" xfId="1" applyNumberFormat="1" applyFont="1" applyBorder="1" applyAlignment="1">
      <alignment horizontal="left" vertical="center"/>
    </xf>
    <xf numFmtId="182" fontId="96" fillId="0" borderId="29" xfId="1" applyNumberFormat="1" applyFont="1" applyBorder="1" applyAlignment="1">
      <alignment horizontal="left" vertical="center"/>
    </xf>
    <xf numFmtId="182" fontId="96" fillId="0" borderId="28" xfId="1" applyNumberFormat="1" applyFont="1" applyBorder="1" applyAlignment="1">
      <alignment horizontal="left" vertical="center"/>
    </xf>
    <xf numFmtId="182" fontId="96" fillId="0" borderId="7" xfId="1" applyNumberFormat="1" applyFont="1" applyBorder="1" applyAlignment="1">
      <alignment horizontal="left" vertical="center"/>
    </xf>
    <xf numFmtId="181" fontId="97" fillId="0" borderId="0" xfId="1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98" fillId="4" borderId="0" xfId="0" applyFont="1" applyFill="1" applyAlignment="1">
      <alignment vertical="center"/>
    </xf>
    <xf numFmtId="166" fontId="99" fillId="0" borderId="0" xfId="2" applyNumberFormat="1" applyFont="1" applyAlignment="1">
      <alignment horizontal="center" vertical="center"/>
    </xf>
    <xf numFmtId="0" fontId="100" fillId="0" borderId="0" xfId="0" applyFont="1" applyAlignment="1">
      <alignment vertical="center"/>
    </xf>
    <xf numFmtId="3" fontId="100" fillId="4" borderId="0" xfId="0" applyNumberFormat="1" applyFont="1" applyFill="1" applyAlignment="1">
      <alignment horizontal="center" vertical="center"/>
    </xf>
    <xf numFmtId="0" fontId="99" fillId="4" borderId="0" xfId="0" applyFont="1" applyFill="1" applyAlignment="1">
      <alignment vertical="center"/>
    </xf>
    <xf numFmtId="166" fontId="45" fillId="0" borderId="9" xfId="2" applyNumberFormat="1" applyFont="1" applyBorder="1" applyAlignment="1">
      <alignment horizontal="center" vertical="center"/>
    </xf>
    <xf numFmtId="166" fontId="45" fillId="0" borderId="7" xfId="2" applyNumberFormat="1" applyFont="1" applyBorder="1" applyAlignment="1">
      <alignment horizontal="center" vertical="center"/>
    </xf>
    <xf numFmtId="166" fontId="47" fillId="0" borderId="0" xfId="2" applyNumberFormat="1" applyFont="1" applyAlignment="1">
      <alignment horizontal="center" vertical="center"/>
    </xf>
    <xf numFmtId="166" fontId="47" fillId="0" borderId="27" xfId="2" applyNumberFormat="1" applyFont="1" applyBorder="1" applyAlignment="1">
      <alignment horizontal="center" vertical="center"/>
    </xf>
    <xf numFmtId="166" fontId="101" fillId="0" borderId="0" xfId="2" applyNumberFormat="1" applyFont="1" applyAlignment="1">
      <alignment horizontal="center" vertical="center"/>
    </xf>
    <xf numFmtId="166" fontId="101" fillId="0" borderId="27" xfId="2" applyNumberFormat="1" applyFont="1" applyBorder="1" applyAlignment="1">
      <alignment horizontal="center" vertical="center"/>
    </xf>
    <xf numFmtId="166" fontId="102" fillId="0" borderId="0" xfId="2" applyNumberFormat="1" applyFont="1" applyAlignment="1">
      <alignment horizontal="center" vertical="center"/>
    </xf>
    <xf numFmtId="166" fontId="102" fillId="0" borderId="27" xfId="2" applyNumberFormat="1" applyFont="1" applyBorder="1" applyAlignment="1">
      <alignment horizontal="center" vertical="center"/>
    </xf>
    <xf numFmtId="168" fontId="102" fillId="0" borderId="0" xfId="3" applyNumberFormat="1" applyFont="1" applyAlignment="1">
      <alignment horizontal="center" vertical="center"/>
    </xf>
    <xf numFmtId="168" fontId="102" fillId="0" borderId="27" xfId="3" applyNumberFormat="1" applyFont="1" applyBorder="1" applyAlignment="1">
      <alignment horizontal="center" vertical="center"/>
    </xf>
    <xf numFmtId="166" fontId="47" fillId="0" borderId="29" xfId="2" applyNumberFormat="1" applyFont="1" applyBorder="1" applyAlignment="1">
      <alignment horizontal="center" vertical="center"/>
    </xf>
    <xf numFmtId="166" fontId="47" fillId="0" borderId="28" xfId="2" applyNumberFormat="1" applyFont="1" applyBorder="1" applyAlignment="1">
      <alignment horizontal="center" vertical="center"/>
    </xf>
    <xf numFmtId="166" fontId="103" fillId="0" borderId="0" xfId="2" applyNumberFormat="1" applyFont="1" applyAlignment="1">
      <alignment horizontal="center" vertical="center"/>
    </xf>
    <xf numFmtId="0" fontId="104" fillId="0" borderId="0" xfId="0" applyFont="1" applyAlignment="1">
      <alignment vertical="center"/>
    </xf>
    <xf numFmtId="0" fontId="105" fillId="0" borderId="0" xfId="0" applyFont="1" applyAlignment="1">
      <alignment vertical="center"/>
    </xf>
    <xf numFmtId="0" fontId="104" fillId="4" borderId="0" xfId="0" applyFont="1" applyFill="1" applyAlignment="1">
      <alignment vertical="center"/>
    </xf>
    <xf numFmtId="166" fontId="106" fillId="0" borderId="0" xfId="2" applyNumberFormat="1" applyFont="1" applyAlignment="1">
      <alignment horizontal="center" vertical="center"/>
    </xf>
    <xf numFmtId="0" fontId="98" fillId="0" borderId="0" xfId="0" applyFont="1" applyAlignment="1">
      <alignment vertical="center"/>
    </xf>
    <xf numFmtId="9" fontId="46" fillId="0" borderId="2" xfId="2" applyNumberFormat="1" applyFont="1" applyBorder="1" applyAlignment="1">
      <alignment horizontal="right" vertical="center"/>
    </xf>
    <xf numFmtId="166" fontId="107" fillId="0" borderId="6" xfId="2" applyNumberFormat="1" applyFont="1" applyBorder="1" applyAlignment="1">
      <alignment horizontal="right" vertical="center"/>
    </xf>
    <xf numFmtId="166" fontId="107" fillId="0" borderId="2" xfId="2" applyNumberFormat="1" applyFont="1" applyBorder="1" applyAlignment="1">
      <alignment horizontal="right" vertical="center"/>
    </xf>
    <xf numFmtId="166" fontId="94" fillId="0" borderId="35" xfId="2" applyNumberFormat="1" applyFont="1" applyBorder="1" applyAlignment="1">
      <alignment horizontal="right" vertical="center"/>
    </xf>
    <xf numFmtId="166" fontId="108" fillId="0" borderId="1" xfId="2" applyNumberFormat="1" applyFont="1" applyBorder="1" applyAlignment="1">
      <alignment horizontal="right" vertical="center"/>
    </xf>
    <xf numFmtId="167" fontId="45" fillId="0" borderId="31" xfId="0" applyNumberFormat="1" applyFont="1" applyBorder="1" applyAlignment="1">
      <alignment horizontal="center" vertical="center"/>
    </xf>
    <xf numFmtId="0" fontId="45" fillId="0" borderId="0" xfId="0" applyFont="1" applyAlignment="1">
      <alignment vertical="center" wrapText="1"/>
    </xf>
    <xf numFmtId="3" fontId="45" fillId="0" borderId="0" xfId="0" applyNumberFormat="1" applyFont="1" applyAlignment="1">
      <alignment horizontal="center" vertical="center"/>
    </xf>
    <xf numFmtId="10" fontId="45" fillId="0" borderId="1" xfId="0" applyNumberFormat="1" applyFont="1" applyBorder="1" applyAlignment="1">
      <alignment horizontal="center" vertical="center"/>
    </xf>
    <xf numFmtId="168" fontId="45" fillId="0" borderId="1" xfId="0" applyNumberFormat="1" applyFont="1" applyBorder="1" applyAlignment="1">
      <alignment horizontal="center" vertical="center"/>
    </xf>
    <xf numFmtId="0" fontId="46" fillId="0" borderId="15" xfId="2" applyFont="1" applyBorder="1" applyAlignment="1">
      <alignment horizontal="right" vertical="center" wrapText="1" indent="3"/>
    </xf>
    <xf numFmtId="0" fontId="109" fillId="0" borderId="44" xfId="2" applyFont="1" applyBorder="1" applyAlignment="1">
      <alignment vertical="center" wrapText="1"/>
    </xf>
    <xf numFmtId="172" fontId="88" fillId="0" borderId="0" xfId="0" applyNumberFormat="1" applyFont="1" applyAlignment="1">
      <alignment vertical="center"/>
    </xf>
    <xf numFmtId="0" fontId="79" fillId="8" borderId="2" xfId="0" applyFont="1" applyFill="1" applyBorder="1" applyAlignment="1">
      <alignment horizontal="right" indent="2"/>
    </xf>
    <xf numFmtId="0" fontId="79" fillId="8" borderId="2" xfId="0" applyFont="1" applyFill="1" applyBorder="1" applyAlignment="1">
      <alignment horizontal="right" indent="6"/>
    </xf>
    <xf numFmtId="0" fontId="0" fillId="8" borderId="44" xfId="0" applyFill="1" applyBorder="1"/>
    <xf numFmtId="0" fontId="79" fillId="8" borderId="2" xfId="0" applyFont="1" applyFill="1" applyBorder="1" applyAlignment="1">
      <alignment horizontal="right" vertical="center" indent="2"/>
    </xf>
    <xf numFmtId="0" fontId="79" fillId="8" borderId="6" xfId="0" applyFont="1" applyFill="1" applyBorder="1" applyAlignment="1">
      <alignment horizontal="right" vertical="center" indent="2"/>
    </xf>
    <xf numFmtId="0" fontId="80" fillId="8" borderId="6" xfId="0" applyFont="1" applyFill="1" applyBorder="1" applyAlignment="1">
      <alignment horizontal="left" vertical="center"/>
    </xf>
    <xf numFmtId="0" fontId="79" fillId="8" borderId="6" xfId="0" applyFont="1" applyFill="1" applyBorder="1" applyAlignment="1">
      <alignment horizontal="right" indent="6"/>
    </xf>
    <xf numFmtId="0" fontId="79" fillId="8" borderId="5" xfId="0" applyFont="1" applyFill="1" applyBorder="1" applyAlignment="1">
      <alignment horizontal="right" indent="6"/>
    </xf>
    <xf numFmtId="0" fontId="79" fillId="8" borderId="5" xfId="0" applyFont="1" applyFill="1" applyBorder="1" applyAlignment="1">
      <alignment horizontal="center"/>
    </xf>
    <xf numFmtId="9" fontId="80" fillId="8" borderId="37" xfId="3" applyFont="1" applyFill="1" applyBorder="1"/>
    <xf numFmtId="0" fontId="39" fillId="0" borderId="0" xfId="0" applyFont="1" applyAlignment="1">
      <alignment horizontal="center" vertical="center" wrapText="1"/>
    </xf>
    <xf numFmtId="0" fontId="45" fillId="0" borderId="5" xfId="0" applyFont="1" applyBorder="1" applyAlignment="1">
      <alignment vertical="center" wrapText="1"/>
    </xf>
    <xf numFmtId="0" fontId="45" fillId="0" borderId="1" xfId="0" applyFont="1" applyBorder="1" applyAlignment="1">
      <alignment vertical="center" wrapText="1"/>
    </xf>
    <xf numFmtId="0" fontId="33" fillId="6" borderId="43" xfId="0" applyFont="1" applyFill="1" applyBorder="1" applyAlignment="1">
      <alignment horizontal="center" vertical="center"/>
    </xf>
    <xf numFmtId="0" fontId="33" fillId="6" borderId="23" xfId="0" applyFont="1" applyFill="1" applyBorder="1" applyAlignment="1">
      <alignment horizontal="center" vertical="center"/>
    </xf>
    <xf numFmtId="10" fontId="9" fillId="0" borderId="25" xfId="0" applyNumberFormat="1" applyFont="1" applyBorder="1" applyAlignment="1">
      <alignment horizontal="center" vertical="center"/>
    </xf>
    <xf numFmtId="10" fontId="9" fillId="0" borderId="53" xfId="0" applyNumberFormat="1" applyFont="1" applyBorder="1" applyAlignment="1">
      <alignment horizontal="center" vertical="center"/>
    </xf>
    <xf numFmtId="10" fontId="9" fillId="0" borderId="26" xfId="0" applyNumberFormat="1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51" xfId="0" applyFont="1" applyBorder="1" applyAlignment="1">
      <alignment vertical="center"/>
    </xf>
    <xf numFmtId="196" fontId="111" fillId="16" borderId="40" xfId="0" applyNumberFormat="1" applyFont="1" applyFill="1" applyBorder="1" applyAlignment="1">
      <alignment horizontal="center"/>
    </xf>
    <xf numFmtId="172" fontId="4" fillId="0" borderId="0" xfId="0" applyNumberFormat="1" applyFont="1" applyAlignment="1">
      <alignment vertical="center" wrapText="1"/>
    </xf>
    <xf numFmtId="172" fontId="25" fillId="0" borderId="0" xfId="1" applyNumberFormat="1" applyFont="1" applyBorder="1" applyAlignment="1">
      <alignment horizontal="right" vertical="center"/>
    </xf>
    <xf numFmtId="172" fontId="4" fillId="0" borderId="0" xfId="0" applyNumberFormat="1" applyFont="1" applyAlignment="1">
      <alignment vertical="center"/>
    </xf>
    <xf numFmtId="3" fontId="35" fillId="5" borderId="54" xfId="0" applyNumberFormat="1" applyFont="1" applyFill="1" applyBorder="1" applyAlignment="1">
      <alignment horizontal="center" vertical="center"/>
    </xf>
    <xf numFmtId="3" fontId="35" fillId="5" borderId="43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9" fillId="0" borderId="0" xfId="0" applyFont="1"/>
    <xf numFmtId="0" fontId="33" fillId="6" borderId="47" xfId="0" applyFont="1" applyFill="1" applyBorder="1" applyAlignment="1">
      <alignment horizontal="center" vertical="center"/>
    </xf>
    <xf numFmtId="179" fontId="38" fillId="0" borderId="3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5" xfId="0" applyBorder="1"/>
    <xf numFmtId="0" fontId="38" fillId="0" borderId="39" xfId="0" applyFont="1" applyBorder="1" applyAlignment="1">
      <alignment horizontal="left" vertical="center" indent="1"/>
    </xf>
    <xf numFmtId="179" fontId="0" fillId="0" borderId="34" xfId="0" applyNumberFormat="1" applyBorder="1" applyAlignment="1">
      <alignment vertical="center"/>
    </xf>
    <xf numFmtId="0" fontId="38" fillId="0" borderId="2" xfId="0" applyFont="1" applyBorder="1"/>
    <xf numFmtId="0" fontId="38" fillId="0" borderId="2" xfId="0" applyFont="1" applyBorder="1" applyAlignment="1">
      <alignment wrapText="1"/>
    </xf>
    <xf numFmtId="0" fontId="0" fillId="0" borderId="49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38" fillId="0" borderId="50" xfId="0" applyFont="1" applyBorder="1" applyAlignment="1">
      <alignment horizontal="center" vertical="center" wrapText="1"/>
    </xf>
    <xf numFmtId="178" fontId="0" fillId="0" borderId="0" xfId="0" applyNumberFormat="1" applyAlignment="1">
      <alignment horizontal="center"/>
    </xf>
    <xf numFmtId="193" fontId="0" fillId="0" borderId="48" xfId="0" applyNumberFormat="1" applyBorder="1" applyAlignment="1">
      <alignment horizontal="right" vertical="center"/>
    </xf>
    <xf numFmtId="0" fontId="0" fillId="15" borderId="39" xfId="0" applyFill="1" applyBorder="1"/>
    <xf numFmtId="0" fontId="38" fillId="0" borderId="39" xfId="0" applyFont="1" applyBorder="1" applyAlignment="1">
      <alignment horizontal="left" wrapText="1"/>
    </xf>
    <xf numFmtId="3" fontId="38" fillId="18" borderId="24" xfId="0" applyNumberFormat="1" applyFont="1" applyFill="1" applyBorder="1"/>
    <xf numFmtId="9" fontId="0" fillId="15" borderId="2" xfId="0" applyNumberFormat="1" applyFill="1" applyBorder="1" applyAlignment="1">
      <alignment horizontal="center" vertical="center"/>
    </xf>
    <xf numFmtId="0" fontId="0" fillId="0" borderId="52" xfId="0" applyBorder="1"/>
    <xf numFmtId="0" fontId="0" fillId="0" borderId="55" xfId="0" applyBorder="1"/>
    <xf numFmtId="0" fontId="37" fillId="0" borderId="0" xfId="0" applyFont="1" applyAlignment="1">
      <alignment vertical="center"/>
    </xf>
    <xf numFmtId="0" fontId="0" fillId="0" borderId="15" xfId="0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10" fontId="9" fillId="0" borderId="47" xfId="0" applyNumberFormat="1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 wrapText="1"/>
    </xf>
    <xf numFmtId="0" fontId="46" fillId="0" borderId="59" xfId="2" applyFont="1" applyBorder="1" applyAlignment="1">
      <alignment horizontal="right" vertical="center" wrapText="1" indent="3"/>
    </xf>
    <xf numFmtId="0" fontId="3" fillId="0" borderId="60" xfId="0" applyFont="1" applyBorder="1" applyAlignment="1">
      <alignment vertical="center"/>
    </xf>
    <xf numFmtId="166" fontId="46" fillId="0" borderId="61" xfId="2" applyNumberFormat="1" applyFont="1" applyBorder="1" applyAlignment="1">
      <alignment horizontal="right" vertical="center"/>
    </xf>
    <xf numFmtId="9" fontId="0" fillId="0" borderId="0" xfId="0" applyNumberFormat="1" applyAlignment="1">
      <alignment horizontal="center" vertical="center"/>
    </xf>
    <xf numFmtId="197" fontId="79" fillId="8" borderId="2" xfId="0" applyNumberFormat="1" applyFont="1" applyFill="1" applyBorder="1" applyAlignment="1">
      <alignment horizontal="center"/>
    </xf>
    <xf numFmtId="198" fontId="96" fillId="0" borderId="9" xfId="1" applyNumberFormat="1" applyFont="1" applyBorder="1" applyAlignment="1">
      <alignment horizontal="left" vertical="center"/>
    </xf>
    <xf numFmtId="198" fontId="96" fillId="0" borderId="5" xfId="1" applyNumberFormat="1" applyFont="1" applyBorder="1" applyAlignment="1">
      <alignment horizontal="left" vertical="center"/>
    </xf>
    <xf numFmtId="198" fontId="96" fillId="0" borderId="0" xfId="1" applyNumberFormat="1" applyFont="1" applyAlignment="1">
      <alignment horizontal="left" vertical="center"/>
    </xf>
    <xf numFmtId="198" fontId="96" fillId="0" borderId="27" xfId="1" applyNumberFormat="1" applyFont="1" applyBorder="1" applyAlignment="1">
      <alignment horizontal="left" vertical="center"/>
    </xf>
    <xf numFmtId="198" fontId="96" fillId="0" borderId="1" xfId="1" applyNumberFormat="1" applyFont="1" applyBorder="1" applyAlignment="1">
      <alignment horizontal="left" vertical="center"/>
    </xf>
    <xf numFmtId="198" fontId="48" fillId="0" borderId="0" xfId="0" applyNumberFormat="1" applyFont="1" applyAlignment="1">
      <alignment vertical="center"/>
    </xf>
    <xf numFmtId="198" fontId="48" fillId="0" borderId="27" xfId="0" applyNumberFormat="1" applyFont="1" applyBorder="1" applyAlignment="1">
      <alignment vertical="center"/>
    </xf>
    <xf numFmtId="198" fontId="48" fillId="0" borderId="1" xfId="0" applyNumberFormat="1" applyFont="1" applyBorder="1" applyAlignment="1">
      <alignment vertical="center"/>
    </xf>
    <xf numFmtId="198" fontId="96" fillId="0" borderId="29" xfId="1" applyNumberFormat="1" applyFont="1" applyBorder="1" applyAlignment="1">
      <alignment horizontal="left" vertical="center"/>
    </xf>
    <xf numFmtId="198" fontId="96" fillId="0" borderId="28" xfId="1" applyNumberFormat="1" applyFont="1" applyBorder="1" applyAlignment="1">
      <alignment horizontal="left" vertical="center"/>
    </xf>
    <xf numFmtId="198" fontId="96" fillId="0" borderId="6" xfId="1" applyNumberFormat="1" applyFont="1" applyBorder="1" applyAlignment="1">
      <alignment horizontal="left" vertical="center"/>
    </xf>
    <xf numFmtId="196" fontId="45" fillId="0" borderId="17" xfId="0" applyNumberFormat="1" applyFont="1" applyBorder="1" applyAlignment="1">
      <alignment horizontal="center" vertical="center"/>
    </xf>
    <xf numFmtId="199" fontId="45" fillId="0" borderId="17" xfId="0" applyNumberFormat="1" applyFont="1" applyBorder="1" applyAlignment="1">
      <alignment horizontal="center" vertical="center"/>
    </xf>
    <xf numFmtId="0" fontId="38" fillId="0" borderId="3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200" fontId="81" fillId="0" borderId="29" xfId="0" applyNumberFormat="1" applyFont="1" applyBorder="1" applyAlignment="1">
      <alignment horizontal="center" vertical="center" wrapText="1"/>
    </xf>
    <xf numFmtId="200" fontId="0" fillId="0" borderId="2" xfId="0" applyNumberFormat="1" applyBorder="1" applyAlignment="1">
      <alignment horizontal="right"/>
    </xf>
    <xf numFmtId="0" fontId="38" fillId="0" borderId="39" xfId="0" applyFont="1" applyBorder="1" applyAlignment="1">
      <alignment wrapText="1"/>
    </xf>
    <xf numFmtId="201" fontId="0" fillId="0" borderId="34" xfId="7" applyNumberFormat="1" applyFont="1" applyBorder="1"/>
    <xf numFmtId="202" fontId="0" fillId="15" borderId="34" xfId="7" applyNumberFormat="1" applyFont="1" applyFill="1" applyBorder="1"/>
    <xf numFmtId="202" fontId="0" fillId="0" borderId="34" xfId="0" applyNumberFormat="1" applyBorder="1" applyAlignment="1">
      <alignment horizontal="right" vertical="center"/>
    </xf>
    <xf numFmtId="202" fontId="38" fillId="0" borderId="34" xfId="7" applyNumberFormat="1" applyFont="1" applyFill="1" applyBorder="1" applyAlignment="1">
      <alignment horizontal="center"/>
    </xf>
    <xf numFmtId="202" fontId="0" fillId="0" borderId="34" xfId="7" applyNumberFormat="1" applyFont="1" applyBorder="1"/>
    <xf numFmtId="202" fontId="0" fillId="0" borderId="2" xfId="0" applyNumberFormat="1" applyBorder="1" applyAlignment="1">
      <alignment horizontal="right"/>
    </xf>
    <xf numFmtId="201" fontId="0" fillId="0" borderId="48" xfId="7" applyNumberFormat="1" applyFont="1" applyBorder="1"/>
    <xf numFmtId="201" fontId="38" fillId="0" borderId="47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38" fillId="0" borderId="47" xfId="0" applyFont="1" applyBorder="1" applyAlignment="1">
      <alignment horizontal="center" wrapText="1"/>
    </xf>
    <xf numFmtId="202" fontId="0" fillId="0" borderId="62" xfId="0" applyNumberFormat="1" applyBorder="1" applyAlignment="1">
      <alignment horizontal="right"/>
    </xf>
    <xf numFmtId="202" fontId="0" fillId="0" borderId="37" xfId="7" applyNumberFormat="1" applyFont="1" applyBorder="1"/>
    <xf numFmtId="202" fontId="38" fillId="0" borderId="47" xfId="7" applyNumberFormat="1" applyFont="1" applyBorder="1" applyAlignment="1">
      <alignment horizontal="center"/>
    </xf>
    <xf numFmtId="203" fontId="4" fillId="0" borderId="2" xfId="1" applyNumberFormat="1" applyFont="1" applyBorder="1" applyAlignment="1">
      <alignment horizontal="center" vertical="center"/>
    </xf>
    <xf numFmtId="203" fontId="4" fillId="0" borderId="2" xfId="1" applyNumberFormat="1" applyFont="1" applyBorder="1" applyAlignment="1">
      <alignment horizontal="right" vertical="center"/>
    </xf>
    <xf numFmtId="203" fontId="4" fillId="0" borderId="34" xfId="0" applyNumberFormat="1" applyFont="1" applyBorder="1" applyAlignment="1">
      <alignment horizontal="center" vertical="center"/>
    </xf>
    <xf numFmtId="203" fontId="25" fillId="0" borderId="30" xfId="1" applyNumberFormat="1" applyFont="1" applyBorder="1" applyAlignment="1">
      <alignment horizontal="center" vertical="center"/>
    </xf>
    <xf numFmtId="203" fontId="25" fillId="0" borderId="2" xfId="1" applyNumberFormat="1" applyFont="1" applyBorder="1" applyAlignment="1">
      <alignment horizontal="right" vertical="center"/>
    </xf>
    <xf numFmtId="203" fontId="25" fillId="0" borderId="34" xfId="1" applyNumberFormat="1" applyFont="1" applyBorder="1" applyAlignment="1">
      <alignment horizontal="right" vertical="center"/>
    </xf>
    <xf numFmtId="203" fontId="25" fillId="0" borderId="2" xfId="1" applyNumberFormat="1" applyFont="1" applyBorder="1" applyAlignment="1">
      <alignment horizontal="center" vertical="center"/>
    </xf>
    <xf numFmtId="203" fontId="26" fillId="16" borderId="35" xfId="1" applyNumberFormat="1" applyFont="1" applyFill="1" applyBorder="1" applyAlignment="1">
      <alignment horizontal="right" vertical="center"/>
    </xf>
    <xf numFmtId="203" fontId="26" fillId="16" borderId="24" xfId="1" applyNumberFormat="1" applyFont="1" applyFill="1" applyBorder="1" applyAlignment="1">
      <alignment horizontal="right" vertical="center"/>
    </xf>
    <xf numFmtId="201" fontId="30" fillId="4" borderId="1" xfId="0" applyNumberFormat="1" applyFont="1" applyFill="1" applyBorder="1" applyAlignment="1">
      <alignment horizontal="center" vertical="center"/>
    </xf>
    <xf numFmtId="201" fontId="30" fillId="4" borderId="6" xfId="0" applyNumberFormat="1" applyFont="1" applyFill="1" applyBorder="1" applyAlignment="1">
      <alignment horizontal="center" vertical="center"/>
    </xf>
    <xf numFmtId="201" fontId="30" fillId="0" borderId="6" xfId="0" applyNumberFormat="1" applyFont="1" applyBorder="1" applyAlignment="1">
      <alignment horizontal="center" vertical="center"/>
    </xf>
    <xf numFmtId="201" fontId="30" fillId="4" borderId="2" xfId="0" applyNumberFormat="1" applyFont="1" applyFill="1" applyBorder="1" applyAlignment="1">
      <alignment horizontal="center" vertical="center"/>
    </xf>
    <xf numFmtId="201" fontId="30" fillId="0" borderId="2" xfId="0" applyNumberFormat="1" applyFont="1" applyBorder="1" applyAlignment="1">
      <alignment horizontal="center" vertical="center"/>
    </xf>
    <xf numFmtId="201" fontId="30" fillId="4" borderId="0" xfId="0" applyNumberFormat="1" applyFont="1" applyFill="1" applyAlignment="1">
      <alignment horizontal="center" vertical="center"/>
    </xf>
    <xf numFmtId="201" fontId="30" fillId="0" borderId="0" xfId="0" applyNumberFormat="1" applyFont="1" applyAlignment="1">
      <alignment horizontal="center" vertical="center"/>
    </xf>
    <xf numFmtId="201" fontId="21" fillId="0" borderId="0" xfId="0" applyNumberFormat="1" applyFont="1" applyAlignment="1">
      <alignment horizontal="center" vertical="center"/>
    </xf>
    <xf numFmtId="201" fontId="21" fillId="0" borderId="0" xfId="0" applyNumberFormat="1" applyFont="1" applyAlignment="1">
      <alignment vertical="center"/>
    </xf>
    <xf numFmtId="201" fontId="22" fillId="0" borderId="0" xfId="0" applyNumberFormat="1" applyFont="1" applyAlignment="1">
      <alignment vertical="center"/>
    </xf>
    <xf numFmtId="201" fontId="0" fillId="4" borderId="0" xfId="0" applyNumberFormat="1" applyFill="1" applyAlignment="1">
      <alignment vertical="center"/>
    </xf>
    <xf numFmtId="201" fontId="30" fillId="0" borderId="1" xfId="0" applyNumberFormat="1" applyFont="1" applyBorder="1" applyAlignment="1">
      <alignment horizontal="center" vertical="center"/>
    </xf>
    <xf numFmtId="201" fontId="30" fillId="0" borderId="27" xfId="0" applyNumberFormat="1" applyFont="1" applyBorder="1" applyAlignment="1">
      <alignment horizontal="center" vertical="center"/>
    </xf>
    <xf numFmtId="201" fontId="30" fillId="4" borderId="27" xfId="0" applyNumberFormat="1" applyFont="1" applyFill="1" applyBorder="1" applyAlignment="1">
      <alignment horizontal="center" vertical="center"/>
    </xf>
    <xf numFmtId="201" fontId="30" fillId="4" borderId="30" xfId="0" applyNumberFormat="1" applyFont="1" applyFill="1" applyBorder="1" applyAlignment="1">
      <alignment horizontal="center" vertical="center"/>
    </xf>
    <xf numFmtId="3" fontId="30" fillId="0" borderId="5" xfId="0" applyNumberFormat="1" applyFont="1" applyBorder="1" applyAlignment="1">
      <alignment horizontal="center" vertical="center"/>
    </xf>
    <xf numFmtId="3" fontId="30" fillId="4" borderId="7" xfId="0" applyNumberFormat="1" applyFont="1" applyFill="1" applyBorder="1" applyAlignment="1">
      <alignment horizontal="center" vertical="center"/>
    </xf>
    <xf numFmtId="3" fontId="0" fillId="13" borderId="3" xfId="0" applyNumberFormat="1" applyFill="1" applyBorder="1" applyAlignment="1">
      <alignment horizontal="center"/>
    </xf>
    <xf numFmtId="3" fontId="0" fillId="13" borderId="10" xfId="0" applyNumberFormat="1" applyFill="1" applyBorder="1" applyAlignment="1">
      <alignment horizontal="center"/>
    </xf>
    <xf numFmtId="200" fontId="0" fillId="13" borderId="27" xfId="0" applyNumberFormat="1" applyFill="1" applyBorder="1"/>
    <xf numFmtId="200" fontId="0" fillId="13" borderId="5" xfId="0" applyNumberFormat="1" applyFill="1" applyBorder="1"/>
    <xf numFmtId="200" fontId="0" fillId="13" borderId="1" xfId="0" applyNumberFormat="1" applyFill="1" applyBorder="1"/>
    <xf numFmtId="200" fontId="0" fillId="13" borderId="28" xfId="0" applyNumberFormat="1" applyFill="1" applyBorder="1"/>
    <xf numFmtId="200" fontId="0" fillId="13" borderId="6" xfId="0" applyNumberFormat="1" applyFill="1" applyBorder="1"/>
    <xf numFmtId="204" fontId="0" fillId="13" borderId="0" xfId="0" applyNumberFormat="1" applyFill="1" applyAlignment="1">
      <alignment horizontal="right" vertical="center"/>
    </xf>
    <xf numFmtId="205" fontId="80" fillId="8" borderId="34" xfId="0" applyNumberFormat="1" applyFont="1" applyFill="1" applyBorder="1" applyAlignment="1">
      <alignment horizontal="center" wrapText="1"/>
    </xf>
    <xf numFmtId="205" fontId="79" fillId="8" borderId="34" xfId="0" applyNumberFormat="1" applyFont="1" applyFill="1" applyBorder="1" applyAlignment="1">
      <alignment wrapText="1"/>
    </xf>
    <xf numFmtId="205" fontId="80" fillId="8" borderId="37" xfId="0" applyNumberFormat="1" applyFont="1" applyFill="1" applyBorder="1"/>
    <xf numFmtId="206" fontId="79" fillId="8" borderId="2" xfId="0" applyNumberFormat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201" fontId="0" fillId="0" borderId="37" xfId="7" applyNumberFormat="1" applyFont="1" applyBorder="1"/>
    <xf numFmtId="201" fontId="38" fillId="0" borderId="47" xfId="7" applyNumberFormat="1" applyFont="1" applyBorder="1" applyAlignment="1">
      <alignment horizontal="center"/>
    </xf>
    <xf numFmtId="200" fontId="0" fillId="0" borderId="11" xfId="0" applyNumberFormat="1" applyBorder="1" applyAlignment="1">
      <alignment horizontal="right"/>
    </xf>
    <xf numFmtId="201" fontId="0" fillId="0" borderId="47" xfId="7" applyNumberFormat="1" applyFont="1" applyBorder="1"/>
    <xf numFmtId="201" fontId="0" fillId="0" borderId="63" xfId="7" applyNumberFormat="1" applyFont="1" applyBorder="1"/>
    <xf numFmtId="0" fontId="0" fillId="0" borderId="41" xfId="0" applyBorder="1" applyAlignment="1">
      <alignment wrapText="1"/>
    </xf>
    <xf numFmtId="0" fontId="0" fillId="0" borderId="51" xfId="0" applyBorder="1" applyAlignment="1">
      <alignment wrapText="1"/>
    </xf>
    <xf numFmtId="0" fontId="0" fillId="0" borderId="47" xfId="0" applyBorder="1"/>
    <xf numFmtId="207" fontId="0" fillId="0" borderId="0" xfId="0" applyNumberFormat="1"/>
    <xf numFmtId="207" fontId="0" fillId="0" borderId="55" xfId="0" applyNumberFormat="1" applyBorder="1"/>
    <xf numFmtId="207" fontId="0" fillId="0" borderId="56" xfId="0" applyNumberFormat="1" applyBorder="1"/>
    <xf numFmtId="208" fontId="80" fillId="8" borderId="34" xfId="0" applyNumberFormat="1" applyFont="1" applyFill="1" applyBorder="1"/>
    <xf numFmtId="209" fontId="80" fillId="8" borderId="34" xfId="1" applyNumberFormat="1" applyFont="1" applyFill="1" applyBorder="1"/>
    <xf numFmtId="0" fontId="40" fillId="0" borderId="0" xfId="0" applyFont="1" applyAlignment="1">
      <alignment horizontal="center"/>
    </xf>
    <xf numFmtId="0" fontId="90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9" fillId="6" borderId="12" xfId="0" applyFont="1" applyFill="1" applyBorder="1" applyAlignment="1">
      <alignment horizontal="center" vertical="center"/>
    </xf>
    <xf numFmtId="0" fontId="39" fillId="6" borderId="18" xfId="0" applyFont="1" applyFill="1" applyBorder="1" applyAlignment="1">
      <alignment horizontal="center" vertical="center"/>
    </xf>
    <xf numFmtId="0" fontId="39" fillId="6" borderId="23" xfId="0" applyFont="1" applyFill="1" applyBorder="1" applyAlignment="1">
      <alignment horizontal="center" vertical="center"/>
    </xf>
    <xf numFmtId="0" fontId="40" fillId="0" borderId="0" xfId="0" applyFont="1" applyAlignment="1">
      <alignment horizontal="center" wrapText="1"/>
    </xf>
    <xf numFmtId="0" fontId="81" fillId="17" borderId="12" xfId="0" applyFont="1" applyFill="1" applyBorder="1" applyAlignment="1">
      <alignment horizontal="center" vertical="center" wrapText="1"/>
    </xf>
    <xf numFmtId="0" fontId="81" fillId="17" borderId="18" xfId="0" applyFont="1" applyFill="1" applyBorder="1" applyAlignment="1">
      <alignment horizontal="center" vertical="center" wrapText="1"/>
    </xf>
    <xf numFmtId="0" fontId="81" fillId="17" borderId="23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 wrapText="1"/>
    </xf>
    <xf numFmtId="0" fontId="81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81" fillId="9" borderId="12" xfId="0" applyFont="1" applyFill="1" applyBorder="1" applyAlignment="1">
      <alignment horizontal="center" vertical="center" wrapText="1"/>
    </xf>
    <xf numFmtId="0" fontId="81" fillId="9" borderId="18" xfId="0" applyFont="1" applyFill="1" applyBorder="1" applyAlignment="1">
      <alignment horizontal="center" vertical="center" wrapText="1"/>
    </xf>
    <xf numFmtId="0" fontId="81" fillId="9" borderId="23" xfId="0" applyFont="1" applyFill="1" applyBorder="1" applyAlignment="1">
      <alignment horizontal="center" vertical="center" wrapText="1"/>
    </xf>
    <xf numFmtId="0" fontId="81" fillId="9" borderId="46" xfId="0" applyFont="1" applyFill="1" applyBorder="1" applyAlignment="1">
      <alignment horizontal="center" vertical="center" wrapText="1"/>
    </xf>
    <xf numFmtId="0" fontId="81" fillId="9" borderId="45" xfId="0" applyFont="1" applyFill="1" applyBorder="1" applyAlignment="1">
      <alignment horizontal="center" vertical="center" wrapText="1"/>
    </xf>
    <xf numFmtId="0" fontId="37" fillId="7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7" fillId="6" borderId="0" xfId="0" applyFont="1" applyFill="1" applyAlignment="1">
      <alignment horizontal="left" vertical="center"/>
    </xf>
    <xf numFmtId="0" fontId="35" fillId="6" borderId="12" xfId="0" applyFont="1" applyFill="1" applyBorder="1" applyAlignment="1">
      <alignment horizontal="center" vertical="center" wrapText="1"/>
    </xf>
    <xf numFmtId="0" fontId="37" fillId="6" borderId="57" xfId="0" applyFont="1" applyFill="1" applyBorder="1" applyAlignment="1">
      <alignment horizontal="center" vertical="center" wrapText="1"/>
    </xf>
    <xf numFmtId="0" fontId="37" fillId="6" borderId="0" xfId="0" applyFont="1" applyFill="1" applyAlignment="1">
      <alignment horizontal="center" vertical="center"/>
    </xf>
    <xf numFmtId="0" fontId="33" fillId="6" borderId="12" xfId="0" applyFont="1" applyFill="1" applyBorder="1" applyAlignment="1">
      <alignment horizontal="center" vertical="center"/>
    </xf>
    <xf numFmtId="0" fontId="33" fillId="6" borderId="18" xfId="0" applyFont="1" applyFill="1" applyBorder="1" applyAlignment="1">
      <alignment horizontal="center" vertical="center"/>
    </xf>
    <xf numFmtId="0" fontId="33" fillId="6" borderId="23" xfId="0" applyFont="1" applyFill="1" applyBorder="1" applyAlignment="1">
      <alignment horizontal="center" vertical="center"/>
    </xf>
    <xf numFmtId="172" fontId="80" fillId="8" borderId="34" xfId="0" applyNumberFormat="1" applyFont="1" applyFill="1" applyBorder="1" applyAlignment="1">
      <alignment horizontal="right"/>
    </xf>
  </cellXfs>
  <cellStyles count="10">
    <cellStyle name="Collegamento ipertestuale" xfId="4" builtinId="8"/>
    <cellStyle name="Hyperlink 2" xfId="6" xr:uid="{00000000-0005-0000-0000-000001000000}"/>
    <cellStyle name="Migliaia" xfId="1" builtinId="3"/>
    <cellStyle name="Normal 2" xfId="5" xr:uid="{00000000-0005-0000-0000-000003000000}"/>
    <cellStyle name="Normal 2 2" xfId="8" xr:uid="{5A48E7B4-4179-414E-A36F-00E35B3879B0}"/>
    <cellStyle name="Normal_NT-01-0005-00" xfId="2" xr:uid="{00000000-0005-0000-0000-000004000000}"/>
    <cellStyle name="Normale" xfId="0" builtinId="0"/>
    <cellStyle name="Percentuale" xfId="3" builtinId="5"/>
    <cellStyle name="Valuta" xfId="7" builtinId="4"/>
    <cellStyle name="Valuta 2" xfId="9" xr:uid="{5AA732DB-4618-4536-90B4-5EE40E703F26}"/>
  </cellStyles>
  <dxfs count="0"/>
  <tableStyles count="0" defaultTableStyle="TableStyleMedium9" defaultPivotStyle="PivotStyleLight16"/>
  <colors>
    <mruColors>
      <color rgb="FFFFFFCC"/>
      <color rgb="FF000000"/>
      <color rgb="FF13BB4B"/>
      <color rgb="FFFFFF99"/>
      <color rgb="FF612A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W&amp;D : NPV Capital Project CF </a:t>
            </a:r>
          </a:p>
        </c:rich>
      </c:tx>
      <c:layout>
        <c:manualLayout>
          <c:xMode val="edge"/>
          <c:yMode val="edge"/>
          <c:x val="0.37168196436716788"/>
          <c:y val="5.89317475049432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7976859600355056E-2"/>
          <c:y val="0.19237373737373717"/>
          <c:w val="0.91307476241067664"/>
          <c:h val="0.64159031257457066"/>
        </c:manualLayout>
      </c:layout>
      <c:areaChart>
        <c:grouping val="standard"/>
        <c:varyColors val="0"/>
        <c:ser>
          <c:idx val="0"/>
          <c:order val="0"/>
          <c:tx>
            <c:strRef>
              <c:f>'CF SITES'!$E$55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'CF SITES'!$E$57:$E$66</c:f>
              <c:numCache>
                <c:formatCode>#,##0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A-6146-B67D-3E5373631D96}"/>
            </c:ext>
          </c:extLst>
        </c:ser>
        <c:ser>
          <c:idx val="1"/>
          <c:order val="1"/>
          <c:tx>
            <c:strRef>
              <c:f>'CF SITES'!$H$55</c:f>
              <c:strCache>
                <c:ptCount val="1"/>
                <c:pt idx="0">
                  <c:v>OTD NPV CF (thousand CHF)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  <a:effectLst/>
          </c:spPr>
          <c:val>
            <c:numRef>
              <c:f>'CF SITES'!$H$57:$H$66</c:f>
              <c:numCache>
                <mc:AlternateContent xmlns:mc="http://schemas.openxmlformats.org/markup-compatibility/2006">
                  <mc:Choice Requires="c16r2">
                    <c16r2:formatcode2>#,##0.00\ [$CHF-gsw-CH]</c16r2:formatcode2>
                  </mc:Choice>
                  <mc:Fallback>
                    <c:formatCode>#,##0.00\ [$CHF]</c:formatCode>
                  </mc:Fallback>
                </mc:AlternateContent>
                <c:ptCount val="10"/>
                <c:pt idx="0">
                  <c:v>-151.6650171543701</c:v>
                </c:pt>
                <c:pt idx="1">
                  <c:v>218.90126535813806</c:v>
                </c:pt>
                <c:pt idx="2">
                  <c:v>693.36322087449946</c:v>
                </c:pt>
                <c:pt idx="3">
                  <c:v>1232.2530639337137</c:v>
                </c:pt>
                <c:pt idx="4">
                  <c:v>1938.3990890562043</c:v>
                </c:pt>
                <c:pt idx="5">
                  <c:v>2647.5287808923467</c:v>
                </c:pt>
                <c:pt idx="6">
                  <c:v>3298.5836061714581</c:v>
                </c:pt>
                <c:pt idx="7">
                  <c:v>3896.3201598389055</c:v>
                </c:pt>
                <c:pt idx="8">
                  <c:v>4445.1054049850418</c:v>
                </c:pt>
                <c:pt idx="9">
                  <c:v>4948.9485932610633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A-6146-B67D-3E5373631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4352"/>
        <c:axId val="125205888"/>
      </c:areaChart>
      <c:catAx>
        <c:axId val="125204352"/>
        <c:scaling>
          <c:orientation val="minMax"/>
        </c:scaling>
        <c:delete val="0"/>
        <c:axPos val="b"/>
        <c:numFmt formatCode="#,##0_);[Red]\(#,##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normalizeH="1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05888"/>
        <c:crosses val="autoZero"/>
        <c:auto val="1"/>
        <c:lblAlgn val="ctr"/>
        <c:lblOffset val="100"/>
        <c:noMultiLvlLbl val="0"/>
      </c:catAx>
      <c:valAx>
        <c:axId val="12520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04352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602749</xdr:colOff>
      <xdr:row>53</xdr:row>
      <xdr:rowOff>10488</xdr:rowOff>
    </xdr:from>
    <xdr:to>
      <xdr:col>22</xdr:col>
      <xdr:colOff>523874</xdr:colOff>
      <xdr:row>71</xdr:row>
      <xdr:rowOff>161925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281634A-9664-F443-8927-2BBF79E39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pv@%20capital%20cost" TargetMode="External"/><Relationship Id="rId2" Type="http://schemas.openxmlformats.org/officeDocument/2006/relationships/hyperlink" Target="mailto:NPVin@12%25" TargetMode="External"/><Relationship Id="rId1" Type="http://schemas.openxmlformats.org/officeDocument/2006/relationships/hyperlink" Target="mailto:NPVin@12%25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42"/>
  <sheetViews>
    <sheetView showGridLines="0" zoomScale="90" zoomScaleNormal="90" workbookViewId="0">
      <selection activeCell="H8" sqref="H8"/>
    </sheetView>
  </sheetViews>
  <sheetFormatPr defaultColWidth="8.77734375" defaultRowHeight="14.4" x14ac:dyDescent="0.3"/>
  <cols>
    <col min="1" max="1" width="6.77734375" customWidth="1"/>
    <col min="2" max="2" width="9" customWidth="1"/>
    <col min="3" max="3" width="57.44140625" customWidth="1"/>
    <col min="4" max="4" width="15" style="182" customWidth="1"/>
    <col min="5" max="5" width="30.21875" style="184" customWidth="1"/>
    <col min="6" max="6" width="16.44140625" style="184" customWidth="1"/>
    <col min="7" max="7" width="12.77734375" style="184" bestFit="1" customWidth="1"/>
    <col min="8" max="8" width="12.44140625" style="184" customWidth="1"/>
    <col min="9" max="9" width="18.77734375" bestFit="1" customWidth="1"/>
    <col min="10" max="10" width="14.44140625" customWidth="1"/>
    <col min="14" max="14" width="44.44140625" bestFit="1" customWidth="1"/>
    <col min="16" max="16" width="12.77734375" customWidth="1"/>
    <col min="17" max="17" width="16.21875" customWidth="1"/>
  </cols>
  <sheetData>
    <row r="1" spans="2:13" ht="30" customHeight="1" x14ac:dyDescent="0.3">
      <c r="C1" s="313"/>
      <c r="D1" s="313"/>
      <c r="E1" s="313"/>
      <c r="F1" s="313"/>
      <c r="G1" s="312"/>
      <c r="H1" s="312"/>
      <c r="I1" s="312"/>
      <c r="J1" s="95"/>
    </row>
    <row r="2" spans="2:13" ht="33" customHeight="1" x14ac:dyDescent="0.3">
      <c r="B2" s="529" t="s">
        <v>205</v>
      </c>
      <c r="C2" s="529"/>
      <c r="D2" s="529"/>
      <c r="E2" s="529"/>
      <c r="F2" s="529"/>
      <c r="G2" s="312"/>
      <c r="H2" s="312"/>
      <c r="I2" s="312"/>
      <c r="J2" s="95"/>
    </row>
    <row r="3" spans="2:13" ht="18.75" customHeight="1" thickBot="1" x14ac:dyDescent="0.35">
      <c r="B3" s="201"/>
      <c r="C3" s="201"/>
      <c r="D3" s="201"/>
      <c r="E3" s="201"/>
      <c r="F3" s="201"/>
      <c r="G3" s="201"/>
      <c r="H3" s="201"/>
      <c r="I3" s="201"/>
    </row>
    <row r="4" spans="2:13" ht="43.5" customHeight="1" x14ac:dyDescent="0.3">
      <c r="B4" s="200" t="s">
        <v>0</v>
      </c>
      <c r="C4" s="203" t="s">
        <v>1</v>
      </c>
      <c r="D4" s="203"/>
      <c r="E4" s="203" t="s">
        <v>2</v>
      </c>
      <c r="F4" s="196" t="s">
        <v>3</v>
      </c>
      <c r="G4"/>
      <c r="H4"/>
    </row>
    <row r="5" spans="2:13" ht="32.25" customHeight="1" x14ac:dyDescent="0.55000000000000004">
      <c r="B5" s="188"/>
      <c r="C5" s="186" t="s">
        <v>4</v>
      </c>
      <c r="D5" s="187" t="s">
        <v>5</v>
      </c>
      <c r="E5" s="189">
        <f>+'SITE Model - INPUT PARAMETERS'!D3</f>
        <v>400</v>
      </c>
      <c r="F5" s="198"/>
      <c r="G5"/>
      <c r="H5" s="202"/>
      <c r="J5" s="527"/>
      <c r="K5" s="527"/>
      <c r="L5" s="527"/>
      <c r="M5" s="527"/>
    </row>
    <row r="6" spans="2:13" ht="19.2" customHeight="1" x14ac:dyDescent="0.3">
      <c r="B6" s="188"/>
      <c r="C6" s="382"/>
      <c r="D6" s="187"/>
      <c r="E6" s="311"/>
      <c r="F6" s="198"/>
      <c r="G6"/>
      <c r="H6"/>
      <c r="J6" s="528"/>
      <c r="K6" s="528"/>
      <c r="L6" s="528"/>
      <c r="M6" s="528"/>
    </row>
    <row r="7" spans="2:13" ht="19.2" customHeight="1" x14ac:dyDescent="0.35">
      <c r="B7" s="188"/>
      <c r="C7" s="186" t="s">
        <v>6</v>
      </c>
      <c r="D7" s="187" t="s">
        <v>7</v>
      </c>
      <c r="E7" s="556" t="s">
        <v>204</v>
      </c>
      <c r="F7" s="198"/>
      <c r="G7"/>
      <c r="H7"/>
      <c r="J7" s="239"/>
      <c r="K7" s="240"/>
      <c r="L7" s="240"/>
      <c r="M7" s="241"/>
    </row>
    <row r="8" spans="2:13" ht="19.2" customHeight="1" x14ac:dyDescent="0.35">
      <c r="B8" s="188"/>
      <c r="C8" s="382"/>
      <c r="D8" s="187"/>
      <c r="E8" s="311"/>
      <c r="F8" s="198"/>
      <c r="G8"/>
      <c r="H8"/>
      <c r="J8" s="239"/>
      <c r="K8" s="240"/>
      <c r="L8" s="240"/>
      <c r="M8" s="241"/>
    </row>
    <row r="9" spans="2:13" ht="19.2" customHeight="1" x14ac:dyDescent="0.35">
      <c r="B9" s="188"/>
      <c r="C9" s="186" t="s">
        <v>8</v>
      </c>
      <c r="D9" s="442"/>
      <c r="E9" s="509">
        <f>'SITE Model - INPUT PARAMETERS'!C35</f>
        <v>430000</v>
      </c>
      <c r="F9" s="197"/>
      <c r="G9"/>
      <c r="H9"/>
      <c r="J9" s="239"/>
      <c r="K9" s="240"/>
      <c r="L9" s="240"/>
      <c r="M9" s="241"/>
    </row>
    <row r="10" spans="2:13" ht="19.2" customHeight="1" x14ac:dyDescent="0.35">
      <c r="B10" s="188"/>
      <c r="C10" s="310" t="str">
        <f>+'SITE Model - INPUT PARAMETERS'!B36</f>
        <v xml:space="preserve">licencee acquisition </v>
      </c>
      <c r="D10" s="442" t="s">
        <v>0</v>
      </c>
      <c r="E10" s="510">
        <f>+'SITE Model - INPUT PARAMETERS'!C36</f>
        <v>50000</v>
      </c>
      <c r="F10" s="198"/>
      <c r="G10"/>
      <c r="H10"/>
      <c r="J10" s="381" t="s">
        <v>0</v>
      </c>
      <c r="K10" s="240"/>
      <c r="L10" s="240"/>
      <c r="M10" s="241"/>
    </row>
    <row r="11" spans="2:13" ht="19.2" customHeight="1" x14ac:dyDescent="0.35">
      <c r="B11" s="188"/>
      <c r="C11" s="310" t="str">
        <f>+'SITE Model - INPUT PARAMETERS'!B37</f>
        <v xml:space="preserve">restructuring &amp; revamping </v>
      </c>
      <c r="D11" s="442" t="s">
        <v>0</v>
      </c>
      <c r="E11" s="510">
        <f>+'SITE Model - INPUT PARAMETERS'!C37</f>
        <v>250000</v>
      </c>
      <c r="F11" s="197"/>
      <c r="G11"/>
      <c r="H11"/>
      <c r="J11" s="381"/>
      <c r="K11" s="240"/>
      <c r="L11" s="240"/>
      <c r="M11" s="241"/>
    </row>
    <row r="12" spans="2:13" ht="19.2" customHeight="1" x14ac:dyDescent="0.35">
      <c r="B12" s="188"/>
      <c r="C12" s="310" t="s">
        <v>0</v>
      </c>
      <c r="D12" s="442"/>
      <c r="E12" s="510" t="s">
        <v>0</v>
      </c>
      <c r="F12" s="197"/>
      <c r="G12"/>
      <c r="H12"/>
      <c r="J12" s="381"/>
      <c r="K12" s="240"/>
      <c r="L12" s="240"/>
      <c r="M12" s="241"/>
    </row>
    <row r="13" spans="2:13" ht="19.2" customHeight="1" x14ac:dyDescent="0.35">
      <c r="B13" s="188"/>
      <c r="C13" s="186" t="s">
        <v>9</v>
      </c>
      <c r="D13" s="442"/>
      <c r="E13" s="509"/>
      <c r="F13" s="197"/>
      <c r="G13"/>
      <c r="H13"/>
      <c r="J13" s="239"/>
      <c r="K13" s="240"/>
      <c r="L13" s="240"/>
      <c r="M13" s="241"/>
    </row>
    <row r="14" spans="2:13" ht="19.2" customHeight="1" x14ac:dyDescent="0.35">
      <c r="B14" s="384"/>
      <c r="C14" s="385"/>
      <c r="D14" s="442"/>
      <c r="E14" s="509"/>
      <c r="F14" s="197"/>
      <c r="G14"/>
      <c r="H14"/>
      <c r="J14" s="239"/>
      <c r="K14" s="240"/>
      <c r="L14" s="240"/>
      <c r="M14" s="241"/>
    </row>
    <row r="15" spans="2:13" ht="19.2" customHeight="1" x14ac:dyDescent="0.3">
      <c r="B15" s="384"/>
      <c r="C15" s="385" t="s">
        <v>10</v>
      </c>
      <c r="D15" s="442"/>
      <c r="E15" s="509">
        <f>+'SITE Model - INPUT PARAMETERS'!C40</f>
        <v>430000</v>
      </c>
      <c r="F15" s="197"/>
      <c r="G15"/>
      <c r="H15"/>
      <c r="J15" s="242"/>
      <c r="K15" s="243"/>
      <c r="L15" s="244"/>
      <c r="M15" s="242"/>
    </row>
    <row r="16" spans="2:13" ht="19.2" customHeight="1" x14ac:dyDescent="0.3">
      <c r="B16" s="384"/>
      <c r="C16" s="385"/>
      <c r="D16" s="442"/>
      <c r="E16" s="509" t="str">
        <f>+'SITE Model - INPUT PARAMETERS'!C38</f>
        <v xml:space="preserve"> </v>
      </c>
      <c r="F16" s="197"/>
      <c r="G16"/>
      <c r="H16"/>
      <c r="J16" s="242"/>
      <c r="K16" s="243"/>
      <c r="L16" s="244"/>
      <c r="M16" s="242"/>
    </row>
    <row r="17" spans="2:13" ht="19.2" customHeight="1" x14ac:dyDescent="0.3">
      <c r="B17" s="384"/>
      <c r="C17" s="385" t="s">
        <v>11</v>
      </c>
      <c r="D17" s="442"/>
      <c r="E17" s="509">
        <f>+'SITE Model - INPUT PARAMETERS'!C43</f>
        <v>50000</v>
      </c>
      <c r="F17" s="197"/>
      <c r="G17"/>
      <c r="H17"/>
      <c r="J17" s="242"/>
      <c r="K17" s="243"/>
      <c r="L17" s="244"/>
      <c r="M17" s="242"/>
    </row>
    <row r="18" spans="2:13" ht="19.2" customHeight="1" x14ac:dyDescent="0.3">
      <c r="B18" s="384"/>
      <c r="C18" s="386"/>
      <c r="D18" s="442"/>
      <c r="E18" s="509"/>
      <c r="F18" s="197"/>
      <c r="G18"/>
      <c r="H18"/>
      <c r="J18" s="242"/>
      <c r="K18" s="243"/>
      <c r="L18" s="244"/>
      <c r="M18" s="242"/>
    </row>
    <row r="19" spans="2:13" ht="19.2" customHeight="1" x14ac:dyDescent="0.3">
      <c r="B19" s="384"/>
      <c r="C19" s="387" t="s">
        <v>12</v>
      </c>
      <c r="D19" s="442"/>
      <c r="E19" s="509"/>
      <c r="F19" s="197"/>
      <c r="G19"/>
      <c r="H19"/>
      <c r="J19" s="242"/>
      <c r="K19" s="243"/>
      <c r="L19" s="244"/>
      <c r="M19" s="242"/>
    </row>
    <row r="20" spans="2:13" ht="19.2" customHeight="1" x14ac:dyDescent="0.3">
      <c r="B20" s="188"/>
      <c r="C20" s="388" t="s">
        <v>13</v>
      </c>
      <c r="D20" s="442" t="s">
        <v>14</v>
      </c>
      <c r="E20" s="525">
        <f>'CF SITES'!F68</f>
        <v>1.0643159245552938</v>
      </c>
      <c r="F20" s="198"/>
      <c r="G20"/>
      <c r="H20"/>
      <c r="J20" s="242"/>
      <c r="K20" s="245"/>
      <c r="L20" s="244"/>
      <c r="M20" s="247"/>
    </row>
    <row r="21" spans="2:13" ht="19.2" customHeight="1" x14ac:dyDescent="0.3">
      <c r="B21" s="194"/>
      <c r="C21" s="383" t="s">
        <v>15</v>
      </c>
      <c r="D21" s="442" t="s">
        <v>7</v>
      </c>
      <c r="E21" s="526">
        <f>'CF SITES'!F72</f>
        <v>12.509182775025726</v>
      </c>
      <c r="F21" s="198"/>
      <c r="G21"/>
      <c r="H21"/>
      <c r="J21" s="242"/>
      <c r="K21" s="245"/>
      <c r="L21" s="244"/>
      <c r="M21" s="242"/>
    </row>
    <row r="22" spans="2:13" ht="19.2" customHeight="1" x14ac:dyDescent="0.3">
      <c r="B22" s="194"/>
      <c r="C22" s="383" t="s">
        <v>16</v>
      </c>
      <c r="D22" s="512" t="s">
        <v>17</v>
      </c>
      <c r="E22" s="509">
        <f>'CF SITES'!F71*1000</f>
        <v>4948948.5932610622</v>
      </c>
      <c r="F22" s="197"/>
      <c r="G22"/>
      <c r="H22"/>
      <c r="J22" s="242"/>
      <c r="K22" s="245"/>
      <c r="L22" s="246"/>
      <c r="M22" s="242"/>
    </row>
    <row r="23" spans="2:13" ht="19.2" customHeight="1" x14ac:dyDescent="0.3">
      <c r="B23" s="194"/>
      <c r="C23" s="389" t="s">
        <v>18</v>
      </c>
      <c r="D23" s="512" t="s">
        <v>17</v>
      </c>
      <c r="E23" s="511">
        <f>SUM('SITES Conld. P&amp;L'!D39:M39)/10</f>
        <v>8175914.0181393772</v>
      </c>
      <c r="F23" s="198"/>
      <c r="G23"/>
      <c r="H23"/>
      <c r="J23" s="242"/>
      <c r="K23" s="245"/>
      <c r="L23" s="244"/>
      <c r="M23" s="242"/>
    </row>
    <row r="24" spans="2:13" ht="19.2" customHeight="1" x14ac:dyDescent="0.3">
      <c r="B24" s="194"/>
      <c r="C24" s="383" t="s">
        <v>19</v>
      </c>
      <c r="D24" s="512" t="s">
        <v>17</v>
      </c>
      <c r="E24" s="511">
        <f>SUM('SITES Conld. P&amp;L'!D51:M51)/10</f>
        <v>6730465.1239581797</v>
      </c>
      <c r="F24" s="210">
        <f>+E24/$E$23</f>
        <v>0.82320644627936734</v>
      </c>
      <c r="G24"/>
      <c r="H24"/>
      <c r="J24" s="242"/>
      <c r="K24" s="245"/>
      <c r="L24" s="244"/>
      <c r="M24" s="247"/>
    </row>
    <row r="25" spans="2:13" ht="19.2" customHeight="1" x14ac:dyDescent="0.3">
      <c r="B25" s="194"/>
      <c r="C25" s="389" t="s">
        <v>20</v>
      </c>
      <c r="D25" s="512" t="s">
        <v>17</v>
      </c>
      <c r="E25" s="511">
        <f>SUM('SITES Conld. P&amp;L'!D53:M53)/10</f>
        <v>1445448.8941811989</v>
      </c>
      <c r="F25" s="210">
        <f>+E25/$E$23</f>
        <v>0.17679355372063282</v>
      </c>
      <c r="G25"/>
      <c r="H25"/>
      <c r="J25" s="242"/>
      <c r="K25" s="245"/>
      <c r="L25" s="244"/>
      <c r="M25" s="247"/>
    </row>
    <row r="26" spans="2:13" ht="19.2" customHeight="1" x14ac:dyDescent="0.3">
      <c r="B26" s="194"/>
      <c r="C26" s="389" t="s">
        <v>21</v>
      </c>
      <c r="D26" s="512" t="s">
        <v>17</v>
      </c>
      <c r="E26" s="511">
        <f>SUM('SITES Conld. P&amp;L'!D55:M55)/10</f>
        <v>1402448.8941811989</v>
      </c>
      <c r="F26" s="210">
        <f>+E26/$E$23</f>
        <v>0.17153420291231969</v>
      </c>
      <c r="G26"/>
      <c r="H26"/>
      <c r="J26" s="242"/>
      <c r="K26" s="245"/>
      <c r="L26" s="244"/>
      <c r="M26" s="247"/>
    </row>
    <row r="27" spans="2:13" ht="19.2" customHeight="1" x14ac:dyDescent="0.3">
      <c r="B27" s="194"/>
      <c r="C27" s="389" t="s">
        <v>22</v>
      </c>
      <c r="D27" s="512" t="s">
        <v>17</v>
      </c>
      <c r="E27" s="511">
        <f>SUM('SITES Conld. P&amp;L'!D$60:M$60)/10</f>
        <v>971944.23370438511</v>
      </c>
      <c r="F27" s="210">
        <f>+E27/$E$23</f>
        <v>0.11887896956205687</v>
      </c>
      <c r="G27"/>
      <c r="H27"/>
      <c r="J27" s="242"/>
      <c r="K27" s="245"/>
      <c r="L27" s="244"/>
      <c r="M27" s="247"/>
    </row>
    <row r="28" spans="2:13" ht="19.2" customHeight="1" x14ac:dyDescent="0.3">
      <c r="B28" s="194"/>
      <c r="C28" s="389" t="s">
        <v>23</v>
      </c>
      <c r="D28" s="512" t="s">
        <v>17</v>
      </c>
      <c r="E28" s="511">
        <f>SUM('SITES Conld. P&amp;L'!D$60:F$60)/3</f>
        <v>493734.68586977507</v>
      </c>
      <c r="F28" s="198"/>
      <c r="G28"/>
      <c r="H28"/>
      <c r="J28" s="242"/>
      <c r="K28" s="245"/>
      <c r="L28" s="244"/>
      <c r="M28" s="247"/>
    </row>
    <row r="29" spans="2:13" ht="19.2" customHeight="1" x14ac:dyDescent="0.3">
      <c r="B29" s="194"/>
      <c r="C29" s="389" t="s">
        <v>24</v>
      </c>
      <c r="D29" s="512" t="s">
        <v>17</v>
      </c>
      <c r="E29" s="511">
        <f>SUM('SITES Conld. P&amp;L'!D$60:H$60)/5</f>
        <v>705461.27998112445</v>
      </c>
      <c r="F29" s="198"/>
      <c r="G29"/>
      <c r="H29"/>
      <c r="J29" s="242"/>
      <c r="K29" s="245"/>
      <c r="L29" s="244"/>
      <c r="M29" s="247"/>
    </row>
    <row r="30" spans="2:13" ht="19.2" customHeight="1" x14ac:dyDescent="0.3">
      <c r="B30" s="194"/>
      <c r="C30" s="389" t="s">
        <v>25</v>
      </c>
      <c r="D30" s="512" t="s">
        <v>17</v>
      </c>
      <c r="E30" s="511">
        <f>SUM('SITES Conld. P&amp;L'!I$60:M$60)/5</f>
        <v>1238427.1874276458</v>
      </c>
      <c r="F30" s="198"/>
      <c r="G30"/>
      <c r="H30"/>
      <c r="J30" s="242"/>
      <c r="K30" s="245"/>
      <c r="L30" s="244"/>
      <c r="M30" s="247"/>
    </row>
    <row r="31" spans="2:13" ht="19.2" customHeight="1" x14ac:dyDescent="0.3">
      <c r="B31" s="194"/>
      <c r="C31" s="389"/>
      <c r="D31" s="390"/>
      <c r="E31" s="204"/>
      <c r="F31" s="391"/>
      <c r="G31"/>
      <c r="H31"/>
      <c r="J31" s="242"/>
      <c r="K31" s="245"/>
      <c r="L31" s="244"/>
      <c r="M31" s="247"/>
    </row>
    <row r="32" spans="2:13" ht="19.2" customHeight="1" thickBot="1" x14ac:dyDescent="0.35">
      <c r="B32" s="190"/>
      <c r="C32" s="191" t="s">
        <v>26</v>
      </c>
      <c r="D32" s="192"/>
      <c r="E32" s="193"/>
      <c r="F32" s="199"/>
      <c r="G32"/>
      <c r="H32"/>
      <c r="J32" s="242"/>
      <c r="K32" s="245"/>
      <c r="L32" s="244"/>
      <c r="M32" s="247"/>
    </row>
    <row r="33" spans="2:10" ht="19.2" customHeight="1" x14ac:dyDescent="0.4">
      <c r="B33" s="180"/>
      <c r="G33"/>
      <c r="H33"/>
    </row>
    <row r="34" spans="2:10" ht="19.2" customHeight="1" x14ac:dyDescent="0.3">
      <c r="C34" s="181"/>
      <c r="D34" s="183"/>
      <c r="E34" s="185"/>
      <c r="F34" s="185"/>
      <c r="G34"/>
      <c r="H34"/>
    </row>
    <row r="35" spans="2:10" ht="19.2" customHeight="1" x14ac:dyDescent="0.3">
      <c r="G35"/>
      <c r="H35"/>
    </row>
    <row r="36" spans="2:10" ht="19.2" customHeight="1" x14ac:dyDescent="0.3">
      <c r="G36"/>
      <c r="H36"/>
    </row>
    <row r="37" spans="2:10" ht="19.2" customHeight="1" x14ac:dyDescent="0.3">
      <c r="I37" s="185"/>
      <c r="J37" s="181"/>
    </row>
    <row r="38" spans="2:10" ht="18" customHeight="1" x14ac:dyDescent="0.3">
      <c r="G38" s="185"/>
      <c r="H38" s="185"/>
      <c r="I38" s="184"/>
    </row>
    <row r="39" spans="2:10" ht="18" customHeight="1" x14ac:dyDescent="0.3">
      <c r="I39" s="184"/>
    </row>
    <row r="40" spans="2:10" ht="18" customHeight="1" x14ac:dyDescent="0.3"/>
    <row r="41" spans="2:10" ht="18" customHeight="1" x14ac:dyDescent="0.3"/>
    <row r="42" spans="2:10" ht="18" customHeight="1" x14ac:dyDescent="0.3"/>
  </sheetData>
  <mergeCells count="3">
    <mergeCell ref="J5:M5"/>
    <mergeCell ref="J6:M6"/>
    <mergeCell ref="B2:F2"/>
  </mergeCells>
  <pageMargins left="0.25" right="0.25" top="0.75" bottom="0.75" header="0.3" footer="0.3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2"/>
  <sheetViews>
    <sheetView showGridLines="0" topLeftCell="D1" zoomScale="70" zoomScaleNormal="70" workbookViewId="0">
      <selection activeCell="F56" sqref="F56"/>
    </sheetView>
  </sheetViews>
  <sheetFormatPr defaultColWidth="9.21875" defaultRowHeight="13.8" outlineLevelRow="2" x14ac:dyDescent="0.3"/>
  <cols>
    <col min="1" max="1" width="5" style="110" customWidth="1"/>
    <col min="2" max="3" width="3.77734375" style="110" customWidth="1"/>
    <col min="4" max="4" width="44.21875" style="110" bestFit="1" customWidth="1"/>
    <col min="5" max="5" width="20.77734375" style="110" customWidth="1"/>
    <col min="6" max="6" width="15.44140625" style="110" bestFit="1" customWidth="1"/>
    <col min="7" max="7" width="17.44140625" style="110" bestFit="1" customWidth="1"/>
    <col min="8" max="8" width="12.77734375" style="110" bestFit="1" customWidth="1"/>
    <col min="9" max="14" width="12.21875" style="110" customWidth="1"/>
    <col min="15" max="23" width="15.21875" style="110" bestFit="1" customWidth="1"/>
    <col min="24" max="30" width="12.21875" style="110" customWidth="1"/>
    <col min="31" max="16384" width="9.21875" style="110"/>
  </cols>
  <sheetData>
    <row r="1" spans="1:31" ht="43.95" customHeight="1" x14ac:dyDescent="0.4">
      <c r="A1" s="254">
        <v>1000</v>
      </c>
      <c r="D1" s="111"/>
      <c r="F1" s="529" t="s">
        <v>27</v>
      </c>
      <c r="G1" s="529"/>
      <c r="H1" s="529"/>
      <c r="I1" s="529"/>
      <c r="J1" s="529"/>
      <c r="K1" s="529"/>
      <c r="L1" s="529"/>
      <c r="M1" s="530"/>
    </row>
    <row r="2" spans="1:31" s="114" customFormat="1" ht="12.75" customHeight="1" x14ac:dyDescent="0.3">
      <c r="A2" s="112" t="s">
        <v>202</v>
      </c>
      <c r="B2" s="112"/>
      <c r="C2" s="113"/>
      <c r="D2" s="113"/>
      <c r="E2" s="114" t="s">
        <v>28</v>
      </c>
      <c r="F2" s="529"/>
      <c r="G2" s="529"/>
      <c r="H2" s="529"/>
      <c r="I2" s="529"/>
      <c r="J2" s="529"/>
      <c r="K2" s="529"/>
      <c r="L2" s="529"/>
      <c r="M2" s="530"/>
      <c r="N2" s="115">
        <v>9</v>
      </c>
      <c r="O2" s="115">
        <v>10</v>
      </c>
      <c r="P2" s="115">
        <v>11</v>
      </c>
      <c r="Q2" s="115">
        <v>12</v>
      </c>
      <c r="R2" s="115">
        <v>13</v>
      </c>
      <c r="S2" s="115">
        <v>14</v>
      </c>
      <c r="T2" s="115">
        <v>15</v>
      </c>
      <c r="U2" s="115">
        <v>16</v>
      </c>
      <c r="V2" s="115">
        <v>17</v>
      </c>
      <c r="W2" s="115">
        <v>18</v>
      </c>
      <c r="X2" s="115">
        <v>19</v>
      </c>
      <c r="Y2" s="115">
        <v>20</v>
      </c>
      <c r="Z2" s="115">
        <v>21</v>
      </c>
      <c r="AA2" s="115">
        <v>22</v>
      </c>
      <c r="AB2" s="115">
        <v>23</v>
      </c>
      <c r="AC2" s="115">
        <v>24</v>
      </c>
      <c r="AD2" s="115">
        <v>25</v>
      </c>
    </row>
    <row r="4" spans="1:31" x14ac:dyDescent="0.3">
      <c r="A4" s="116"/>
      <c r="B4" s="117" t="s">
        <v>29</v>
      </c>
      <c r="C4" s="116"/>
      <c r="D4" s="116"/>
      <c r="E4" s="118" t="s">
        <v>203</v>
      </c>
      <c r="F4" s="119">
        <f>SUM(F5:F9)+F20</f>
        <v>343.21899999999988</v>
      </c>
      <c r="G4" s="119">
        <f t="shared" ref="G4:Y4" si="0">SUM(G5:G9)+G20</f>
        <v>539.69593309668574</v>
      </c>
      <c r="H4" s="119">
        <f t="shared" si="0"/>
        <v>727.28912451263921</v>
      </c>
      <c r="I4" s="119">
        <f t="shared" si="0"/>
        <v>889.45804768639903</v>
      </c>
      <c r="J4" s="119">
        <f t="shared" si="0"/>
        <v>1242.6442946098996</v>
      </c>
      <c r="K4" s="119">
        <f t="shared" si="0"/>
        <v>1256.266505998929</v>
      </c>
      <c r="L4" s="119">
        <f t="shared" si="0"/>
        <v>1268.7216710589173</v>
      </c>
      <c r="M4" s="119">
        <f t="shared" si="0"/>
        <v>1281.3013877695057</v>
      </c>
      <c r="N4" s="119">
        <f t="shared" si="0"/>
        <v>1294.0069016472012</v>
      </c>
      <c r="O4" s="119">
        <f t="shared" si="0"/>
        <v>1306.8394706636764</v>
      </c>
      <c r="P4" s="119">
        <f t="shared" si="0"/>
        <v>1414.0503653703108</v>
      </c>
      <c r="Q4" s="119">
        <f t="shared" si="0"/>
        <v>1322.1408690240137</v>
      </c>
      <c r="R4" s="119">
        <f t="shared" si="0"/>
        <v>1335.3622777142537</v>
      </c>
      <c r="S4" s="119">
        <f t="shared" si="0"/>
        <v>1348.7159004913967</v>
      </c>
      <c r="T4" s="119">
        <f t="shared" si="0"/>
        <v>1362.2030594963089</v>
      </c>
      <c r="U4" s="119">
        <f t="shared" si="0"/>
        <v>1375.8250900912731</v>
      </c>
      <c r="V4" s="119">
        <f t="shared" si="0"/>
        <v>1389.5833409921875</v>
      </c>
      <c r="W4" s="119">
        <f t="shared" si="0"/>
        <v>1403.4791744021068</v>
      </c>
      <c r="X4" s="119">
        <f t="shared" si="0"/>
        <v>1417.5139661461276</v>
      </c>
      <c r="Y4" s="119">
        <f t="shared" si="0"/>
        <v>1431.6891058075867</v>
      </c>
      <c r="Z4" s="119">
        <f>SUM(Z5:Z9)+Z20</f>
        <v>1446.0059968656642</v>
      </c>
      <c r="AA4" s="119">
        <f>SUM(AA5:AA9)+AA20</f>
        <v>1460.4660568343206</v>
      </c>
      <c r="AB4" s="119">
        <f>SUM(AB5:AB9)+AB20</f>
        <v>1475.0707174026661</v>
      </c>
      <c r="AC4" s="119">
        <f>SUM(AC5:AC9)+AC20</f>
        <v>1489.8214245766899</v>
      </c>
      <c r="AD4" s="119">
        <f>SUM(AD5:AD9)+AD20</f>
        <v>1504.7196388224565</v>
      </c>
    </row>
    <row r="5" spans="1:31" outlineLevel="1" x14ac:dyDescent="0.3">
      <c r="A5" s="116"/>
      <c r="B5" s="116"/>
      <c r="C5" s="116" t="s">
        <v>30</v>
      </c>
      <c r="D5" s="116"/>
      <c r="E5" s="118" t="s">
        <v>203</v>
      </c>
      <c r="F5" s="120">
        <f>+'SITES Conld. P&amp;L'!D39/$A$1</f>
        <v>2095.1999999999998</v>
      </c>
      <c r="G5" s="120">
        <f>+'SITES Conld. P&amp;L'!E39/$A$1</f>
        <v>4024.8719999999998</v>
      </c>
      <c r="H5" s="120">
        <f>+'SITES Conld. P&amp;L'!F39/$A$1</f>
        <v>5958.6247200000007</v>
      </c>
      <c r="I5" s="120">
        <f>+'SITES Conld. P&amp;L'!G39/$A$1</f>
        <v>7867.344720000001</v>
      </c>
      <c r="J5" s="120">
        <f>+'SITES Conld. P&amp;L'!H39/$A$1</f>
        <v>10047.618241752001</v>
      </c>
      <c r="K5" s="120">
        <f>+'SITES Conld. P&amp;L'!I39/$A$1</f>
        <v>10148.09442416952</v>
      </c>
      <c r="L5" s="120">
        <f>+'SITES Conld. P&amp;L'!J39/$A$1</f>
        <v>10249.575368411215</v>
      </c>
      <c r="M5" s="120">
        <f>+'SITES Conld. P&amp;L'!K39/$A$1</f>
        <v>10352.071122095325</v>
      </c>
      <c r="N5" s="120">
        <f>+'SITES Conld. P&amp;L'!L39/$A$1</f>
        <v>10455.591833316279</v>
      </c>
      <c r="O5" s="120">
        <f>+'SITES Conld. P&amp;L'!M39/$A$1</f>
        <v>10560.147751649445</v>
      </c>
      <c r="P5" s="120">
        <f>+'SITES Conld. P&amp;L'!N39/$A$1</f>
        <v>10665.749229165938</v>
      </c>
      <c r="Q5" s="120">
        <f>+'SITES Conld. P&amp;L'!O39/$A$1</f>
        <v>10772.406721457597</v>
      </c>
      <c r="R5" s="120">
        <f>+'SITES Conld. P&amp;L'!P39/$A$1</f>
        <v>10880.130788672173</v>
      </c>
      <c r="S5" s="120">
        <f>+'SITES Conld. P&amp;L'!Q39/$A$1</f>
        <v>10988.932096558896</v>
      </c>
      <c r="T5" s="120">
        <f>+'SITES Conld. P&amp;L'!R39/$A$1</f>
        <v>11098.821417524483</v>
      </c>
      <c r="U5" s="120">
        <f>+'SITES Conld. P&amp;L'!S39/$A$1</f>
        <v>11209.809631699729</v>
      </c>
      <c r="V5" s="120">
        <f>+'SITES Conld. P&amp;L'!T39/$A$1</f>
        <v>11321.907728016728</v>
      </c>
      <c r="W5" s="120">
        <f>+'SITES Conld. P&amp;L'!U39/$A$1</f>
        <v>11435.126805296894</v>
      </c>
      <c r="X5" s="120">
        <f>+'SITES Conld. P&amp;L'!V39/$A$1</f>
        <v>11549.478073349861</v>
      </c>
      <c r="Y5" s="120">
        <f>+'SITES Conld. P&amp;L'!W39/$A$1</f>
        <v>11664.972854083358</v>
      </c>
      <c r="Z5" s="120">
        <f>+'SITES Conld. P&amp;L'!X39/$A$1</f>
        <v>11781.622582624193</v>
      </c>
      <c r="AA5" s="120">
        <f>+'SITES Conld. P&amp;L'!Y39/$A$1</f>
        <v>11899.438808450435</v>
      </c>
      <c r="AB5" s="120">
        <f>+'SITES Conld. P&amp;L'!Z39/$A$1</f>
        <v>12018.433196534941</v>
      </c>
      <c r="AC5" s="120">
        <f>+'SITES Conld. P&amp;L'!AA39/$A$1</f>
        <v>12138.617528500288</v>
      </c>
      <c r="AD5" s="120">
        <f>+'SITES Conld. P&amp;L'!AB39/$A$1</f>
        <v>12260.003703785291</v>
      </c>
      <c r="AE5" s="125">
        <f>SUM(F5:AD5)</f>
        <v>253444.59134711462</v>
      </c>
    </row>
    <row r="6" spans="1:31" outlineLevel="1" x14ac:dyDescent="0.3">
      <c r="C6" s="110" t="s">
        <v>31</v>
      </c>
      <c r="E6" s="118" t="s">
        <v>203</v>
      </c>
      <c r="F6" s="120">
        <f>-'SITES Conld. P&amp;L'!D50/$A$1</f>
        <v>-672.84799999999996</v>
      </c>
      <c r="G6" s="120">
        <f>-'SITES Conld. P&amp;L'!E50/$A$1</f>
        <v>-1359.1529599999999</v>
      </c>
      <c r="H6" s="120">
        <f>-'SITES Conld. P&amp;L'!F50/$A$1</f>
        <v>-2045.5924895999999</v>
      </c>
      <c r="I6" s="120">
        <f>-'SITES Conld. P&amp;L'!G50/$A$1</f>
        <v>-2738.8964144960005</v>
      </c>
      <c r="J6" s="120">
        <f>-'SITES Conld. P&amp;L'!H50/$A$1</f>
        <v>-3439.13337864096</v>
      </c>
      <c r="K6" s="120">
        <f>-'SITES Conld. P&amp;L'!I50/$A$1</f>
        <v>-3473.5247124273701</v>
      </c>
      <c r="L6" s="120">
        <f>-'SITES Conld. P&amp;L'!J50/$A$1</f>
        <v>-3508.2599595516435</v>
      </c>
      <c r="M6" s="120">
        <f>-'SITES Conld. P&amp;L'!K50/$A$1</f>
        <v>-3543.3425591471596</v>
      </c>
      <c r="N6" s="120">
        <f>-'SITES Conld. P&amp;L'!L50/$A$1</f>
        <v>-3578.775984738631</v>
      </c>
      <c r="O6" s="120">
        <f>-'SITES Conld. P&amp;L'!M50/$A$1</f>
        <v>-3614.5637445860175</v>
      </c>
      <c r="P6" s="120">
        <f>-'SITES Conld. P&amp;L'!N50/$A$1</f>
        <v>-3650.7093820318782</v>
      </c>
      <c r="Q6" s="120">
        <f>-'SITES Conld. P&amp;L'!O50/$A$1</f>
        <v>-3687.2164758521972</v>
      </c>
      <c r="R6" s="120">
        <f>-'SITES Conld. P&amp;L'!P50/$A$1</f>
        <v>-3724.0886406107193</v>
      </c>
      <c r="S6" s="120">
        <f>-'SITES Conld. P&amp;L'!Q50/$A$1</f>
        <v>-3761.3295270168264</v>
      </c>
      <c r="T6" s="120">
        <f>-'SITES Conld. P&amp;L'!R50/$A$1</f>
        <v>-3798.9428222869947</v>
      </c>
      <c r="U6" s="120">
        <f>-'SITES Conld. P&amp;L'!S50/$A$1</f>
        <v>-3836.9322505098648</v>
      </c>
      <c r="V6" s="120">
        <f>-'SITES Conld. P&amp;L'!T50/$A$1</f>
        <v>-3875.3015730149627</v>
      </c>
      <c r="W6" s="120">
        <f>-'SITES Conld. P&amp;L'!U50/$A$1</f>
        <v>-3914.0545887451135</v>
      </c>
      <c r="X6" s="120">
        <f>-'SITES Conld. P&amp;L'!V50/$A$1</f>
        <v>-3953.195134632565</v>
      </c>
      <c r="Y6" s="120">
        <f>-'SITES Conld. P&amp;L'!W50/$A$1</f>
        <v>-3992.7270859788905</v>
      </c>
      <c r="Z6" s="120">
        <f>-'SITES Conld. P&amp;L'!X50/$A$1</f>
        <v>-4032.6543568386787</v>
      </c>
      <c r="AA6" s="120">
        <f>-'SITES Conld. P&amp;L'!Y50/$A$1</f>
        <v>-4072.9809004070657</v>
      </c>
      <c r="AB6" s="120">
        <f>-'SITES Conld. P&amp;L'!Z50/$A$1</f>
        <v>-4113.7107094111361</v>
      </c>
      <c r="AC6" s="120">
        <f>-'SITES Conld. P&amp;L'!AA50/$A$1</f>
        <v>-4154.8478165052475</v>
      </c>
      <c r="AD6" s="120">
        <f>-'SITES Conld. P&amp;L'!AB50/$A$1</f>
        <v>-4196.3962946703004</v>
      </c>
      <c r="AE6" s="125">
        <f>SUM(F6:AD6)</f>
        <v>-86739.177761700237</v>
      </c>
    </row>
    <row r="7" spans="1:31" outlineLevel="1" x14ac:dyDescent="0.3">
      <c r="C7" s="110" t="s">
        <v>32</v>
      </c>
      <c r="E7" s="118" t="s">
        <v>203</v>
      </c>
      <c r="F7" s="120">
        <f>-'SITES Conld. P&amp;L'!D43/$A$1</f>
        <v>-946</v>
      </c>
      <c r="G7" s="120">
        <f>-'SITES Conld. P&amp;L'!E43/$A$1</f>
        <v>-1910.92</v>
      </c>
      <c r="H7" s="120">
        <f>-'SITES Conld. P&amp;L'!F43/$A$1</f>
        <v>-2876.0292000000004</v>
      </c>
      <c r="I7" s="120">
        <f>-'SITES Conld. P&amp;L'!G43/$A$1</f>
        <v>-3850.7894919999999</v>
      </c>
      <c r="J7" s="120">
        <f>-'SITES Conld. P&amp;L'!H43/$A$1</f>
        <v>-4835.2973869199996</v>
      </c>
      <c r="K7" s="120">
        <f>-'SITES Conld. P&amp;L'!I43/$A$1</f>
        <v>-4883.6503607891991</v>
      </c>
      <c r="L7" s="120">
        <f>-'SITES Conld. P&amp;L'!J43/$A$1</f>
        <v>-4932.4868643970922</v>
      </c>
      <c r="M7" s="120">
        <f>-'SITES Conld. P&amp;L'!K43/$A$1</f>
        <v>-4981.8117330410632</v>
      </c>
      <c r="N7" s="120">
        <f>-'SITES Conld. P&amp;L'!L43/$A$1</f>
        <v>-5031.6298503714734</v>
      </c>
      <c r="O7" s="120">
        <f>-'SITES Conld. P&amp;L'!M43/$A$1</f>
        <v>-5081.9461488751876</v>
      </c>
      <c r="P7" s="120">
        <f>-'SITES Conld. P&amp;L'!N43/$A$1</f>
        <v>-5132.7656103639401</v>
      </c>
      <c r="Q7" s="120">
        <f>-'SITES Conld. P&amp;L'!O43/$A$1</f>
        <v>-5184.0932664675793</v>
      </c>
      <c r="R7" s="120">
        <f>-'SITES Conld. P&amp;L'!P43/$A$1</f>
        <v>-5235.9341991322553</v>
      </c>
      <c r="S7" s="120">
        <f>-'SITES Conld. P&amp;L'!Q43/$A$1</f>
        <v>-5288.2935411235785</v>
      </c>
      <c r="T7" s="120">
        <f>-'SITES Conld. P&amp;L'!R43/$A$1</f>
        <v>-5341.1764765348144</v>
      </c>
      <c r="U7" s="120">
        <f>-'SITES Conld. P&amp;L'!S43/$A$1</f>
        <v>-5394.5882413001627</v>
      </c>
      <c r="V7" s="120">
        <f>-'SITES Conld. P&amp;L'!T43/$A$1</f>
        <v>-5448.5341237131643</v>
      </c>
      <c r="W7" s="120">
        <f>-'SITES Conld. P&amp;L'!U43/$A$1</f>
        <v>-5503.0194649502964</v>
      </c>
      <c r="X7" s="120">
        <f>-'SITES Conld. P&amp;L'!V43/$A$1</f>
        <v>-5558.0496595997984</v>
      </c>
      <c r="Y7" s="120">
        <f>-'SITES Conld. P&amp;L'!W43/$A$1</f>
        <v>-5613.6301561957971</v>
      </c>
      <c r="Z7" s="120">
        <f>-'SITES Conld. P&amp;L'!X43/$A$1</f>
        <v>-5669.7664577577552</v>
      </c>
      <c r="AA7" s="120">
        <f>-'SITES Conld. P&amp;L'!Y43/$A$1</f>
        <v>-5726.4641223353328</v>
      </c>
      <c r="AB7" s="120">
        <f>-'SITES Conld. P&amp;L'!Z43/$A$1</f>
        <v>-5783.7287635586854</v>
      </c>
      <c r="AC7" s="120">
        <f>-'SITES Conld. P&amp;L'!AA43/$A$1</f>
        <v>-5841.5660511942733</v>
      </c>
      <c r="AD7" s="120">
        <f>-'SITES Conld. P&amp;L'!AB43/$A$1</f>
        <v>-5899.9817117062157</v>
      </c>
      <c r="AE7" s="125">
        <f>SUM(F7:AD7)</f>
        <v>-121952.15288232767</v>
      </c>
    </row>
    <row r="8" spans="1:31" outlineLevel="1" x14ac:dyDescent="0.3">
      <c r="C8" s="110" t="s">
        <v>33</v>
      </c>
      <c r="E8" s="118" t="s">
        <v>203</v>
      </c>
      <c r="F8" s="120">
        <v>0</v>
      </c>
      <c r="G8" s="120">
        <v>0</v>
      </c>
      <c r="H8" s="120">
        <v>0</v>
      </c>
      <c r="I8" s="120">
        <v>0</v>
      </c>
      <c r="J8" s="120">
        <v>0</v>
      </c>
      <c r="K8" s="120">
        <v>0</v>
      </c>
      <c r="L8" s="120">
        <v>0</v>
      </c>
      <c r="M8" s="120">
        <v>0</v>
      </c>
      <c r="N8" s="120">
        <v>0</v>
      </c>
      <c r="O8" s="120">
        <v>0</v>
      </c>
      <c r="P8" s="120">
        <v>0</v>
      </c>
      <c r="Q8" s="120">
        <v>0</v>
      </c>
      <c r="R8" s="120">
        <v>0</v>
      </c>
      <c r="S8" s="120">
        <v>0</v>
      </c>
      <c r="T8" s="120">
        <v>0</v>
      </c>
      <c r="U8" s="120">
        <v>0</v>
      </c>
      <c r="V8" s="120">
        <v>0</v>
      </c>
      <c r="W8" s="120">
        <v>0</v>
      </c>
      <c r="X8" s="120">
        <v>0</v>
      </c>
      <c r="Y8" s="120">
        <v>0</v>
      </c>
      <c r="Z8" s="120">
        <v>0</v>
      </c>
      <c r="AA8" s="120">
        <v>0</v>
      </c>
      <c r="AB8" s="120">
        <v>0</v>
      </c>
      <c r="AC8" s="120">
        <v>0</v>
      </c>
      <c r="AD8" s="120">
        <v>0</v>
      </c>
    </row>
    <row r="9" spans="1:31" outlineLevel="1" x14ac:dyDescent="0.3">
      <c r="C9" s="110" t="s">
        <v>34</v>
      </c>
      <c r="E9" s="118" t="s">
        <v>203</v>
      </c>
      <c r="F9" s="120">
        <f>-(F17+F18+F19+IF('CF SITES'!F16&gt;0, 'CF SITES'!F16, 0))</f>
        <v>-109.633</v>
      </c>
      <c r="G9" s="120">
        <f>-(G17+G18+G19+IF('CF SITES'!G16&gt;0, 'CF SITES'!G16, 0))</f>
        <v>-195.86331929005786</v>
      </c>
      <c r="H9" s="120">
        <f>-(H17+H18+H19+IF('CF SITES'!H16&gt;0, 'CF SITES'!H16, 0))</f>
        <v>-294.94364873791636</v>
      </c>
      <c r="I9" s="120">
        <f>-(I17+I18+I19+IF('CF SITES'!I16&gt;0, 'CF SITES'!I16, 0))</f>
        <v>-378.11967541119714</v>
      </c>
      <c r="J9" s="120">
        <f>-(J17+J18+J19+IF('CF SITES'!J16&gt;0, 'CF SITES'!J16, 0))</f>
        <v>-525.38172240121276</v>
      </c>
      <c r="K9" s="120">
        <f>-(K17+K18+K19+IF('CF SITES'!K16&gt;0, 'CF SITES'!K16, 0))</f>
        <v>-534.65284495402159</v>
      </c>
      <c r="L9" s="120">
        <f>-(L17+L18+L19+IF('CF SITES'!L16&gt;0, 'CF SITES'!L16, 0))</f>
        <v>-540.10687340356174</v>
      </c>
      <c r="M9" s="120">
        <f>-(M17+M18+M19+IF('CF SITES'!M16&gt;0, 'CF SITES'!M16, 0))</f>
        <v>-545.61544213759692</v>
      </c>
      <c r="N9" s="120">
        <f>-(N17+N18+N19+IF('CF SITES'!N16&gt;0, 'CF SITES'!N16, 0))</f>
        <v>-551.17909655897301</v>
      </c>
      <c r="O9" s="120">
        <f>-(O17+O18+O19+IF('CF SITES'!O16&gt;0, 'CF SITES'!O16, 0))</f>
        <v>-556.79838752456374</v>
      </c>
      <c r="P9" s="120">
        <f>-(P17+P18+P19+IF('CF SITES'!P16&gt;0, 'CF SITES'!P16, 0))</f>
        <v>-468.22387139980867</v>
      </c>
      <c r="Q9" s="120">
        <f>-(Q17+Q18+Q19+IF('CF SITES'!Q16&gt;0, 'CF SITES'!Q16, 0))</f>
        <v>-578.9561101138064</v>
      </c>
      <c r="R9" s="120">
        <f>-(R17+R18+R19+IF('CF SITES'!R16&gt;0, 'CF SITES'!R16, 0))</f>
        <v>-584.74567121494511</v>
      </c>
      <c r="S9" s="120">
        <f>-(S17+S18+S19+IF('CF SITES'!S16&gt;0, 'CF SITES'!S16, 0))</f>
        <v>-590.5931279270942</v>
      </c>
      <c r="T9" s="120">
        <f>-(T17+T18+T19+IF('CF SITES'!T16&gt;0, 'CF SITES'!T16, 0))</f>
        <v>-596.4990592063649</v>
      </c>
      <c r="U9" s="120">
        <f>-(U17+U18+U19+IF('CF SITES'!U16&gt;0, 'CF SITES'!U16, 0))</f>
        <v>-602.46404979842873</v>
      </c>
      <c r="V9" s="120">
        <f>-(V17+V18+V19+IF('CF SITES'!V16&gt;0, 'CF SITES'!V16, 0))</f>
        <v>-608.4886902964131</v>
      </c>
      <c r="W9" s="120">
        <f>-(W17+W18+W19+IF('CF SITES'!W16&gt;0, 'CF SITES'!W16, 0))</f>
        <v>-614.57357719937693</v>
      </c>
      <c r="X9" s="120">
        <f>-(X17+X18+X19+IF('CF SITES'!X16&gt;0, 'CF SITES'!X16, 0))</f>
        <v>-620.71931297137019</v>
      </c>
      <c r="Y9" s="120">
        <f>-(Y17+Y18+Y19+IF('CF SITES'!Y16&gt;0, 'CF SITES'!Y16, 0))</f>
        <v>-626.9265061010841</v>
      </c>
      <c r="Z9" s="120">
        <f>-(Z17+Z18+Z19+IF('CF SITES'!Z16&gt;0, 'CF SITES'!Z16, 0))</f>
        <v>-633.19577116209518</v>
      </c>
      <c r="AA9" s="120">
        <f>-(AA17+AA18+AA19+IF('CF SITES'!AA16&gt;0, 'CF SITES'!AA16, 0))</f>
        <v>-639.52772887371623</v>
      </c>
      <c r="AB9" s="120">
        <f>-(AB17+AB18+AB19+IF('CF SITES'!AB16&gt;0, 'CF SITES'!AB16, 0))</f>
        <v>-645.92300616245336</v>
      </c>
      <c r="AC9" s="120">
        <f>-(AC17+AC18+AC19+IF('CF SITES'!AC16&gt;0, 'CF SITES'!AC16, 0))</f>
        <v>-652.38223622407747</v>
      </c>
      <c r="AD9" s="120">
        <f>-(AD17+AD18+AD19+IF('CF SITES'!AD16&gt;0, 'CF SITES'!AD16, 0))</f>
        <v>-658.90605858631807</v>
      </c>
    </row>
    <row r="10" spans="1:31" s="121" customFormat="1" outlineLevel="2" x14ac:dyDescent="0.3">
      <c r="D10" s="121" t="s">
        <v>35</v>
      </c>
      <c r="E10" s="118"/>
      <c r="F10" s="122">
        <v>0</v>
      </c>
      <c r="G10" s="122">
        <v>0</v>
      </c>
      <c r="H10" s="122">
        <v>0</v>
      </c>
      <c r="I10" s="122">
        <v>0</v>
      </c>
      <c r="J10" s="122">
        <v>0</v>
      </c>
      <c r="K10" s="122">
        <v>0</v>
      </c>
      <c r="L10" s="122">
        <v>0</v>
      </c>
      <c r="M10" s="122">
        <v>0</v>
      </c>
      <c r="N10" s="122">
        <v>0</v>
      </c>
      <c r="O10" s="122">
        <v>0</v>
      </c>
      <c r="P10" s="122">
        <v>0</v>
      </c>
      <c r="Q10" s="122">
        <v>0</v>
      </c>
      <c r="R10" s="122">
        <v>0</v>
      </c>
      <c r="S10" s="122">
        <v>0</v>
      </c>
      <c r="T10" s="122">
        <v>0</v>
      </c>
      <c r="U10" s="122">
        <v>0</v>
      </c>
      <c r="V10" s="122">
        <v>0</v>
      </c>
      <c r="W10" s="122">
        <v>0</v>
      </c>
      <c r="X10" s="122">
        <v>0</v>
      </c>
      <c r="Y10" s="122">
        <v>0</v>
      </c>
      <c r="Z10" s="122">
        <v>0</v>
      </c>
      <c r="AA10" s="122">
        <v>0</v>
      </c>
      <c r="AB10" s="122">
        <v>0</v>
      </c>
      <c r="AC10" s="122">
        <v>0</v>
      </c>
      <c r="AD10" s="122">
        <v>0</v>
      </c>
    </row>
    <row r="11" spans="1:31" s="121" customFormat="1" outlineLevel="2" x14ac:dyDescent="0.3">
      <c r="D11" s="121" t="s">
        <v>36</v>
      </c>
      <c r="E11" s="118"/>
      <c r="F11" s="122">
        <v>0</v>
      </c>
      <c r="G11" s="122">
        <v>0</v>
      </c>
      <c r="H11" s="122">
        <v>0</v>
      </c>
      <c r="I11" s="122">
        <v>0</v>
      </c>
      <c r="J11" s="122">
        <v>0</v>
      </c>
      <c r="K11" s="122">
        <v>0</v>
      </c>
      <c r="L11" s="122">
        <v>0</v>
      </c>
      <c r="M11" s="122">
        <v>0</v>
      </c>
      <c r="N11" s="122">
        <v>0</v>
      </c>
      <c r="O11" s="122">
        <v>0</v>
      </c>
      <c r="P11" s="122">
        <v>0</v>
      </c>
      <c r="Q11" s="122">
        <v>0</v>
      </c>
      <c r="R11" s="122">
        <v>0</v>
      </c>
      <c r="S11" s="122">
        <v>0</v>
      </c>
      <c r="T11" s="122">
        <v>0</v>
      </c>
      <c r="U11" s="122">
        <v>0</v>
      </c>
      <c r="V11" s="122">
        <v>0</v>
      </c>
      <c r="W11" s="122">
        <v>0</v>
      </c>
      <c r="X11" s="122">
        <v>0</v>
      </c>
      <c r="Y11" s="122">
        <v>0</v>
      </c>
      <c r="Z11" s="122">
        <v>0</v>
      </c>
      <c r="AA11" s="122">
        <v>0</v>
      </c>
      <c r="AB11" s="122">
        <v>0</v>
      </c>
      <c r="AC11" s="122">
        <v>0</v>
      </c>
      <c r="AD11" s="122">
        <v>0</v>
      </c>
    </row>
    <row r="12" spans="1:31" s="123" customFormat="1" outlineLevel="2" x14ac:dyDescent="0.3">
      <c r="D12" s="124" t="s">
        <v>37</v>
      </c>
      <c r="E12" s="118"/>
      <c r="F12" s="122">
        <v>0</v>
      </c>
      <c r="G12" s="122">
        <v>0</v>
      </c>
      <c r="H12" s="122">
        <v>0</v>
      </c>
      <c r="I12" s="122">
        <v>0</v>
      </c>
      <c r="J12" s="122">
        <v>0</v>
      </c>
      <c r="K12" s="122">
        <v>0</v>
      </c>
      <c r="L12" s="122">
        <v>0</v>
      </c>
      <c r="M12" s="122">
        <v>0</v>
      </c>
      <c r="N12" s="122">
        <v>0</v>
      </c>
      <c r="O12" s="122">
        <v>0</v>
      </c>
      <c r="P12" s="122">
        <v>0</v>
      </c>
      <c r="Q12" s="122">
        <v>0</v>
      </c>
      <c r="R12" s="122">
        <v>0</v>
      </c>
      <c r="S12" s="122">
        <v>0</v>
      </c>
      <c r="T12" s="122">
        <v>0</v>
      </c>
      <c r="U12" s="122">
        <v>0</v>
      </c>
      <c r="V12" s="122">
        <v>0</v>
      </c>
      <c r="W12" s="122">
        <v>0</v>
      </c>
      <c r="X12" s="122">
        <v>0</v>
      </c>
      <c r="Y12" s="122">
        <v>0</v>
      </c>
      <c r="Z12" s="122">
        <v>0</v>
      </c>
      <c r="AA12" s="122">
        <v>0</v>
      </c>
      <c r="AB12" s="122">
        <v>0</v>
      </c>
      <c r="AC12" s="122">
        <v>0</v>
      </c>
      <c r="AD12" s="122">
        <v>0</v>
      </c>
    </row>
    <row r="13" spans="1:31" s="123" customFormat="1" outlineLevel="2" x14ac:dyDescent="0.3">
      <c r="D13" s="124" t="s">
        <v>38</v>
      </c>
      <c r="E13" s="118"/>
      <c r="F13" s="122">
        <v>0</v>
      </c>
      <c r="G13" s="122">
        <v>0</v>
      </c>
      <c r="H13" s="122">
        <v>0</v>
      </c>
      <c r="I13" s="122">
        <v>0</v>
      </c>
      <c r="J13" s="122">
        <v>0</v>
      </c>
      <c r="K13" s="122">
        <v>0</v>
      </c>
      <c r="L13" s="122">
        <v>0</v>
      </c>
      <c r="M13" s="122">
        <v>0</v>
      </c>
      <c r="N13" s="122">
        <v>0</v>
      </c>
      <c r="O13" s="122">
        <v>0</v>
      </c>
      <c r="P13" s="122">
        <v>0</v>
      </c>
      <c r="Q13" s="122">
        <v>0</v>
      </c>
      <c r="R13" s="122">
        <v>0</v>
      </c>
      <c r="S13" s="122">
        <v>0</v>
      </c>
      <c r="T13" s="122">
        <v>0</v>
      </c>
      <c r="U13" s="122">
        <v>0</v>
      </c>
      <c r="V13" s="122">
        <v>0</v>
      </c>
      <c r="W13" s="122">
        <v>0</v>
      </c>
      <c r="X13" s="122">
        <v>0</v>
      </c>
      <c r="Y13" s="122">
        <v>0</v>
      </c>
      <c r="Z13" s="122">
        <v>0</v>
      </c>
      <c r="AA13" s="122">
        <v>0</v>
      </c>
      <c r="AB13" s="122">
        <v>0</v>
      </c>
      <c r="AC13" s="122">
        <v>0</v>
      </c>
      <c r="AD13" s="122">
        <v>0</v>
      </c>
    </row>
    <row r="14" spans="1:31" s="123" customFormat="1" outlineLevel="2" x14ac:dyDescent="0.3">
      <c r="D14" s="123" t="s">
        <v>39</v>
      </c>
      <c r="E14" s="118"/>
      <c r="F14" s="122">
        <v>0</v>
      </c>
      <c r="G14" s="122">
        <v>0</v>
      </c>
      <c r="H14" s="122">
        <v>0</v>
      </c>
      <c r="I14" s="122">
        <v>0</v>
      </c>
      <c r="J14" s="122">
        <v>0</v>
      </c>
      <c r="K14" s="122">
        <v>0</v>
      </c>
      <c r="L14" s="122">
        <v>0</v>
      </c>
      <c r="M14" s="122">
        <v>0</v>
      </c>
      <c r="N14" s="122">
        <v>0</v>
      </c>
      <c r="O14" s="122">
        <v>0</v>
      </c>
      <c r="P14" s="122">
        <v>0</v>
      </c>
      <c r="Q14" s="122">
        <v>0</v>
      </c>
      <c r="R14" s="122">
        <v>0</v>
      </c>
      <c r="S14" s="122">
        <v>0</v>
      </c>
      <c r="T14" s="122">
        <v>0</v>
      </c>
      <c r="U14" s="122">
        <v>0</v>
      </c>
      <c r="V14" s="122">
        <v>0</v>
      </c>
      <c r="W14" s="122">
        <v>0</v>
      </c>
      <c r="X14" s="122">
        <v>0</v>
      </c>
      <c r="Y14" s="122">
        <v>0</v>
      </c>
      <c r="Z14" s="122">
        <v>0</v>
      </c>
      <c r="AA14" s="122">
        <v>0</v>
      </c>
      <c r="AB14" s="122">
        <v>0</v>
      </c>
      <c r="AC14" s="122">
        <v>0</v>
      </c>
      <c r="AD14" s="122">
        <v>0</v>
      </c>
    </row>
    <row r="15" spans="1:31" s="123" customFormat="1" outlineLevel="2" x14ac:dyDescent="0.3">
      <c r="D15" s="123" t="s">
        <v>39</v>
      </c>
      <c r="E15" s="118"/>
      <c r="F15" s="122">
        <v>0</v>
      </c>
      <c r="G15" s="122">
        <v>0</v>
      </c>
      <c r="H15" s="122">
        <v>0</v>
      </c>
      <c r="I15" s="122">
        <v>0</v>
      </c>
      <c r="J15" s="122">
        <v>0</v>
      </c>
      <c r="K15" s="122">
        <v>0</v>
      </c>
      <c r="L15" s="122">
        <v>0</v>
      </c>
      <c r="M15" s="122">
        <v>0</v>
      </c>
      <c r="N15" s="122">
        <v>0</v>
      </c>
      <c r="O15" s="122">
        <v>0</v>
      </c>
      <c r="P15" s="122">
        <v>0</v>
      </c>
      <c r="Q15" s="122">
        <v>0</v>
      </c>
      <c r="R15" s="122">
        <v>0</v>
      </c>
      <c r="S15" s="122">
        <v>0</v>
      </c>
      <c r="T15" s="122">
        <v>0</v>
      </c>
      <c r="U15" s="122">
        <v>0</v>
      </c>
      <c r="V15" s="122">
        <v>0</v>
      </c>
      <c r="W15" s="122">
        <v>0</v>
      </c>
      <c r="X15" s="122">
        <v>0</v>
      </c>
      <c r="Y15" s="122">
        <v>0</v>
      </c>
      <c r="Z15" s="122">
        <v>0</v>
      </c>
      <c r="AA15" s="122">
        <v>0</v>
      </c>
      <c r="AB15" s="122">
        <v>0</v>
      </c>
      <c r="AC15" s="122">
        <v>0</v>
      </c>
      <c r="AD15" s="122">
        <v>0</v>
      </c>
    </row>
    <row r="16" spans="1:31" s="121" customFormat="1" outlineLevel="2" x14ac:dyDescent="0.3">
      <c r="D16" s="121" t="s">
        <v>40</v>
      </c>
      <c r="E16" s="118"/>
      <c r="F16" s="122">
        <v>0</v>
      </c>
      <c r="G16" s="122">
        <v>0</v>
      </c>
      <c r="H16" s="122">
        <v>0</v>
      </c>
      <c r="I16" s="122">
        <v>0</v>
      </c>
      <c r="J16" s="122">
        <v>0</v>
      </c>
      <c r="K16" s="122">
        <v>0</v>
      </c>
      <c r="L16" s="122">
        <v>0</v>
      </c>
      <c r="M16" s="122">
        <v>0</v>
      </c>
      <c r="N16" s="122">
        <v>0</v>
      </c>
      <c r="O16" s="122">
        <v>0</v>
      </c>
      <c r="P16" s="122">
        <v>0</v>
      </c>
      <c r="Q16" s="122">
        <v>0</v>
      </c>
      <c r="R16" s="122">
        <v>0</v>
      </c>
      <c r="S16" s="122">
        <v>0</v>
      </c>
      <c r="T16" s="122">
        <v>0</v>
      </c>
      <c r="U16" s="122">
        <v>0</v>
      </c>
      <c r="V16" s="122">
        <v>0</v>
      </c>
      <c r="W16" s="122">
        <v>0</v>
      </c>
      <c r="X16" s="122">
        <v>0</v>
      </c>
      <c r="Y16" s="122">
        <v>0</v>
      </c>
      <c r="Z16" s="122">
        <v>0</v>
      </c>
      <c r="AA16" s="122">
        <v>0</v>
      </c>
      <c r="AB16" s="122">
        <v>0</v>
      </c>
      <c r="AC16" s="122">
        <v>0</v>
      </c>
      <c r="AD16" s="122">
        <v>0</v>
      </c>
    </row>
    <row r="17" spans="2:31" s="121" customFormat="1" outlineLevel="2" x14ac:dyDescent="0.3">
      <c r="D17" s="121" t="s">
        <v>41</v>
      </c>
      <c r="E17" s="118"/>
      <c r="F17" s="122">
        <v>0</v>
      </c>
      <c r="G17" s="122">
        <v>0</v>
      </c>
      <c r="H17" s="122">
        <v>0</v>
      </c>
      <c r="I17" s="122">
        <v>0</v>
      </c>
      <c r="J17" s="122">
        <v>0</v>
      </c>
      <c r="K17" s="122">
        <v>0</v>
      </c>
      <c r="L17" s="122">
        <v>0</v>
      </c>
      <c r="M17" s="122">
        <v>0</v>
      </c>
      <c r="N17" s="122">
        <v>0</v>
      </c>
      <c r="O17" s="122">
        <v>0</v>
      </c>
      <c r="P17" s="122">
        <v>0</v>
      </c>
      <c r="Q17" s="122">
        <v>0</v>
      </c>
      <c r="R17" s="122">
        <v>0</v>
      </c>
      <c r="S17" s="122">
        <v>0</v>
      </c>
      <c r="T17" s="122">
        <v>0</v>
      </c>
      <c r="U17" s="122">
        <v>0</v>
      </c>
      <c r="V17" s="122">
        <v>0</v>
      </c>
      <c r="W17" s="122">
        <v>0</v>
      </c>
      <c r="X17" s="122">
        <v>0</v>
      </c>
      <c r="Y17" s="122">
        <v>0</v>
      </c>
      <c r="Z17" s="122">
        <v>0</v>
      </c>
      <c r="AA17" s="122">
        <v>0</v>
      </c>
      <c r="AB17" s="122">
        <v>0</v>
      </c>
      <c r="AC17" s="122">
        <v>0</v>
      </c>
      <c r="AD17" s="122">
        <v>0</v>
      </c>
    </row>
    <row r="18" spans="2:31" s="121" customFormat="1" outlineLevel="2" x14ac:dyDescent="0.3">
      <c r="D18" s="121" t="s">
        <v>42</v>
      </c>
      <c r="E18" s="118"/>
      <c r="F18" s="122">
        <v>0</v>
      </c>
      <c r="G18" s="122">
        <v>0</v>
      </c>
      <c r="H18" s="122">
        <v>0</v>
      </c>
      <c r="I18" s="122">
        <v>0</v>
      </c>
      <c r="J18" s="122">
        <v>0</v>
      </c>
      <c r="K18" s="122">
        <v>0</v>
      </c>
      <c r="L18" s="122">
        <v>0</v>
      </c>
      <c r="M18" s="122">
        <v>0</v>
      </c>
      <c r="N18" s="122">
        <v>0</v>
      </c>
      <c r="O18" s="122">
        <v>0</v>
      </c>
      <c r="P18" s="122">
        <v>0</v>
      </c>
      <c r="Q18" s="122">
        <v>0</v>
      </c>
      <c r="R18" s="122">
        <v>0</v>
      </c>
      <c r="S18" s="122">
        <v>0</v>
      </c>
      <c r="T18" s="122">
        <v>0</v>
      </c>
      <c r="U18" s="122">
        <v>0</v>
      </c>
      <c r="V18" s="122">
        <v>0</v>
      </c>
      <c r="W18" s="122">
        <v>0</v>
      </c>
      <c r="X18" s="122">
        <v>0</v>
      </c>
      <c r="Y18" s="122">
        <v>0</v>
      </c>
      <c r="Z18" s="122">
        <v>0</v>
      </c>
      <c r="AA18" s="122">
        <v>0</v>
      </c>
      <c r="AB18" s="122">
        <v>0</v>
      </c>
      <c r="AC18" s="122">
        <v>0</v>
      </c>
      <c r="AD18" s="122">
        <v>0</v>
      </c>
    </row>
    <row r="19" spans="2:31" s="121" customFormat="1" outlineLevel="2" x14ac:dyDescent="0.3">
      <c r="D19" s="121" t="s">
        <v>43</v>
      </c>
      <c r="E19" s="118"/>
      <c r="F19" s="122">
        <f>'SITES Conld. P&amp;L'!D91/$A$1</f>
        <v>109.633</v>
      </c>
      <c r="G19" s="122">
        <f>'SITES Conld. P&amp;L'!E91/$A$1</f>
        <v>195.86331929005786</v>
      </c>
      <c r="H19" s="122">
        <f>'SITES Conld. P&amp;L'!F91/$A$1</f>
        <v>294.94364873791636</v>
      </c>
      <c r="I19" s="122">
        <f>'SITES Conld. P&amp;L'!G91/$A$1</f>
        <v>378.11967541119714</v>
      </c>
      <c r="J19" s="122">
        <f>'SITES Conld. P&amp;L'!H91/$A$1</f>
        <v>525.38172240121276</v>
      </c>
      <c r="K19" s="122">
        <f>'SITES Conld. P&amp;L'!I91/$A$1</f>
        <v>534.65284495402159</v>
      </c>
      <c r="L19" s="122">
        <f>'SITES Conld. P&amp;L'!J91/$A$1</f>
        <v>540.10687340356174</v>
      </c>
      <c r="M19" s="122">
        <f>'SITES Conld. P&amp;L'!K91/$A$1</f>
        <v>545.61544213759692</v>
      </c>
      <c r="N19" s="122">
        <f>'SITES Conld. P&amp;L'!L91/$A$1</f>
        <v>551.17909655897301</v>
      </c>
      <c r="O19" s="122">
        <f>'SITES Conld. P&amp;L'!M91/$A$1</f>
        <v>556.79838752456374</v>
      </c>
      <c r="P19" s="122">
        <f>'SITES Conld. P&amp;L'!N91/$A$1</f>
        <v>468.22387139980867</v>
      </c>
      <c r="Q19" s="122">
        <f>'SITES Conld. P&amp;L'!O91/$A$1</f>
        <v>578.9561101138064</v>
      </c>
      <c r="R19" s="122">
        <f>'SITES Conld. P&amp;L'!P91/$A$1</f>
        <v>584.74567121494511</v>
      </c>
      <c r="S19" s="122">
        <f>'SITES Conld. P&amp;L'!Q91/$A$1</f>
        <v>590.5931279270942</v>
      </c>
      <c r="T19" s="122">
        <f>'SITES Conld. P&amp;L'!R91/$A$1</f>
        <v>596.4990592063649</v>
      </c>
      <c r="U19" s="122">
        <f>'SITES Conld. P&amp;L'!S91/$A$1</f>
        <v>602.46404979842873</v>
      </c>
      <c r="V19" s="122">
        <f>'SITES Conld. P&amp;L'!T91/$A$1</f>
        <v>608.4886902964131</v>
      </c>
      <c r="W19" s="122">
        <f>'SITES Conld. P&amp;L'!U91/$A$1</f>
        <v>614.57357719937693</v>
      </c>
      <c r="X19" s="122">
        <f>'SITES Conld. P&amp;L'!V91/$A$1</f>
        <v>620.71931297137019</v>
      </c>
      <c r="Y19" s="122">
        <f>'SITES Conld. P&amp;L'!W91/$A$1</f>
        <v>626.9265061010841</v>
      </c>
      <c r="Z19" s="122">
        <f>'SITES Conld. P&amp;L'!X91/$A$1</f>
        <v>633.19577116209518</v>
      </c>
      <c r="AA19" s="122">
        <f>'SITES Conld. P&amp;L'!Y91/$A$1</f>
        <v>639.52772887371623</v>
      </c>
      <c r="AB19" s="122">
        <f>'SITES Conld. P&amp;L'!Z91/$A$1</f>
        <v>645.92300616245336</v>
      </c>
      <c r="AC19" s="122">
        <f>'SITES Conld. P&amp;L'!AA91/$A$1</f>
        <v>652.38223622407747</v>
      </c>
      <c r="AD19" s="122">
        <f>'SITES Conld. P&amp;L'!AB91/$A$1</f>
        <v>658.90605858631807</v>
      </c>
      <c r="AE19" s="125">
        <f>SUM(F19:AD19)</f>
        <v>13354.418787656454</v>
      </c>
    </row>
    <row r="20" spans="2:31" outlineLevel="2" x14ac:dyDescent="0.3">
      <c r="C20" s="110" t="s">
        <v>44</v>
      </c>
      <c r="E20" s="118" t="s">
        <v>203</v>
      </c>
      <c r="F20" s="120">
        <f>'SITES Conld. P&amp;L'!D56/$A$1</f>
        <v>-23.5</v>
      </c>
      <c r="G20" s="120">
        <f>'SITES Conld. P&amp;L'!E56/$A$1</f>
        <v>-19.239787613256173</v>
      </c>
      <c r="H20" s="120">
        <f>'SITES Conld. P&amp;L'!F56/$A$1</f>
        <v>-14.77025714944501</v>
      </c>
      <c r="I20" s="120">
        <f>'SITES Conld. P&amp;L'!G56/$A$1</f>
        <v>-10.081090406403943</v>
      </c>
      <c r="J20" s="120">
        <f>'SITES Conld. P&amp;L'!H56/$A$1</f>
        <v>-5.1614591799298992</v>
      </c>
      <c r="K20" s="120">
        <f>'SITES Conld. P&amp;L'!I56/$A$1</f>
        <v>0</v>
      </c>
      <c r="L20" s="120">
        <f>'SITES Conld. P&amp;L'!J56/$A$1</f>
        <v>0</v>
      </c>
      <c r="M20" s="120">
        <f>'SITES Conld. P&amp;L'!K56/$A$1</f>
        <v>0</v>
      </c>
      <c r="N20" s="120">
        <f>'SITES Conld. P&amp;L'!L56/$A$1</f>
        <v>0</v>
      </c>
      <c r="O20" s="120">
        <f>'SITES Conld. P&amp;L'!M56/$A$1</f>
        <v>0</v>
      </c>
      <c r="P20" s="120">
        <f>'SITES Conld. P&amp;L'!N56/$A$1</f>
        <v>0</v>
      </c>
      <c r="Q20" s="120">
        <f>'SITES Conld. P&amp;L'!O56/$A$1</f>
        <v>0</v>
      </c>
      <c r="R20" s="120">
        <f>'SITES Conld. P&amp;L'!P56/$A$1</f>
        <v>0</v>
      </c>
      <c r="S20" s="120">
        <f>'SITES Conld. P&amp;L'!Q56/$A$1</f>
        <v>0</v>
      </c>
      <c r="T20" s="120">
        <f>'SITES Conld. P&amp;L'!R56/$A$1</f>
        <v>0</v>
      </c>
      <c r="U20" s="120">
        <f>'SITES Conld. P&amp;L'!S56/$A$1</f>
        <v>0</v>
      </c>
      <c r="V20" s="120">
        <f>'SITES Conld. P&amp;L'!T56/$A$1</f>
        <v>0</v>
      </c>
      <c r="W20" s="120">
        <f>'SITES Conld. P&amp;L'!U56/$A$1</f>
        <v>0</v>
      </c>
      <c r="X20" s="120">
        <f>'SITES Conld. P&amp;L'!V56/$A$1</f>
        <v>0</v>
      </c>
      <c r="Y20" s="120">
        <f>'SITES Conld. P&amp;L'!W56/$A$1</f>
        <v>0</v>
      </c>
      <c r="Z20" s="120">
        <f>'SITES Conld. P&amp;L'!X56/$A$1</f>
        <v>0</v>
      </c>
      <c r="AA20" s="120">
        <f>'SITES Conld. P&amp;L'!Y56/$A$1</f>
        <v>0</v>
      </c>
      <c r="AB20" s="120">
        <f>'SITES Conld. P&amp;L'!Z56/$A$1</f>
        <v>0</v>
      </c>
      <c r="AC20" s="120">
        <f>'SITES Conld. P&amp;L'!AA56/$A$1</f>
        <v>0</v>
      </c>
      <c r="AD20" s="120">
        <f>'SITES Conld. P&amp;L'!AB56/$A$1</f>
        <v>0</v>
      </c>
      <c r="AE20" s="125">
        <f>SUM(F20:AD20)</f>
        <v>-72.752594349035007</v>
      </c>
    </row>
    <row r="21" spans="2:31" outlineLevel="1" x14ac:dyDescent="0.3">
      <c r="E21" s="118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</row>
    <row r="22" spans="2:31" x14ac:dyDescent="0.3">
      <c r="B22" s="117" t="s">
        <v>45</v>
      </c>
      <c r="E22" s="118" t="s">
        <v>203</v>
      </c>
      <c r="F22" s="119">
        <f t="shared" ref="F22:AD22" si="1">F23+F24</f>
        <v>-430</v>
      </c>
      <c r="G22" s="119">
        <f t="shared" si="1"/>
        <v>0</v>
      </c>
      <c r="H22" s="119">
        <f t="shared" si="1"/>
        <v>0</v>
      </c>
      <c r="I22" s="119">
        <f t="shared" si="1"/>
        <v>0</v>
      </c>
      <c r="J22" s="119">
        <f t="shared" si="1"/>
        <v>0</v>
      </c>
      <c r="K22" s="119">
        <f t="shared" si="1"/>
        <v>0</v>
      </c>
      <c r="L22" s="119">
        <f t="shared" si="1"/>
        <v>0</v>
      </c>
      <c r="M22" s="119">
        <f t="shared" si="1"/>
        <v>0</v>
      </c>
      <c r="N22" s="119">
        <f t="shared" si="1"/>
        <v>0</v>
      </c>
      <c r="O22" s="119">
        <f t="shared" si="1"/>
        <v>0</v>
      </c>
      <c r="P22" s="119">
        <f t="shared" si="1"/>
        <v>0</v>
      </c>
      <c r="Q22" s="119">
        <f t="shared" si="1"/>
        <v>0</v>
      </c>
      <c r="R22" s="119">
        <f t="shared" si="1"/>
        <v>0</v>
      </c>
      <c r="S22" s="119">
        <f t="shared" si="1"/>
        <v>0</v>
      </c>
      <c r="T22" s="119">
        <f t="shared" si="1"/>
        <v>0</v>
      </c>
      <c r="U22" s="119">
        <f t="shared" si="1"/>
        <v>0</v>
      </c>
      <c r="V22" s="119">
        <f t="shared" si="1"/>
        <v>0</v>
      </c>
      <c r="W22" s="119">
        <f t="shared" si="1"/>
        <v>0</v>
      </c>
      <c r="X22" s="119">
        <f t="shared" si="1"/>
        <v>0</v>
      </c>
      <c r="Y22" s="119">
        <f t="shared" si="1"/>
        <v>0</v>
      </c>
      <c r="Z22" s="119">
        <f t="shared" si="1"/>
        <v>0</v>
      </c>
      <c r="AA22" s="119">
        <f t="shared" si="1"/>
        <v>0</v>
      </c>
      <c r="AB22" s="119">
        <f t="shared" si="1"/>
        <v>0</v>
      </c>
      <c r="AC22" s="119">
        <f t="shared" si="1"/>
        <v>0</v>
      </c>
      <c r="AD22" s="119">
        <f t="shared" si="1"/>
        <v>0</v>
      </c>
    </row>
    <row r="23" spans="2:31" outlineLevel="1" x14ac:dyDescent="0.3">
      <c r="C23" s="110" t="s">
        <v>46</v>
      </c>
      <c r="E23" s="118" t="s">
        <v>203</v>
      </c>
      <c r="F23" s="120">
        <f>+'SITES Conld. P&amp;L'!D65/A1</f>
        <v>-430</v>
      </c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</row>
    <row r="24" spans="2:31" outlineLevel="1" x14ac:dyDescent="0.3">
      <c r="C24" s="110" t="s">
        <v>47</v>
      </c>
      <c r="E24" s="118" t="s">
        <v>203</v>
      </c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</row>
    <row r="25" spans="2:31" outlineLevel="1" x14ac:dyDescent="0.3">
      <c r="E25" s="118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</row>
    <row r="26" spans="2:31" x14ac:dyDescent="0.3">
      <c r="B26" s="117" t="s">
        <v>48</v>
      </c>
      <c r="E26" s="118" t="s">
        <v>203</v>
      </c>
      <c r="F26" s="119">
        <f t="shared" ref="F26:AD26" si="2">SUM(F27:F33)</f>
        <v>392.94948113019302</v>
      </c>
      <c r="G26" s="119">
        <f t="shared" si="2"/>
        <v>-91.31073125655081</v>
      </c>
      <c r="H26" s="119">
        <f t="shared" si="2"/>
        <v>-95.780261720361977</v>
      </c>
      <c r="I26" s="119">
        <f t="shared" si="2"/>
        <v>-100.46942846340303</v>
      </c>
      <c r="J26" s="119">
        <f t="shared" si="2"/>
        <v>-105.38905968987709</v>
      </c>
      <c r="K26" s="119">
        <f t="shared" si="2"/>
        <v>0</v>
      </c>
      <c r="L26" s="119">
        <f t="shared" si="2"/>
        <v>0</v>
      </c>
      <c r="M26" s="119">
        <f t="shared" si="2"/>
        <v>0</v>
      </c>
      <c r="N26" s="119">
        <f t="shared" si="2"/>
        <v>0</v>
      </c>
      <c r="O26" s="119">
        <f t="shared" si="2"/>
        <v>0</v>
      </c>
      <c r="P26" s="119">
        <f t="shared" si="2"/>
        <v>0</v>
      </c>
      <c r="Q26" s="119">
        <f t="shared" si="2"/>
        <v>0</v>
      </c>
      <c r="R26" s="119">
        <f t="shared" si="2"/>
        <v>0</v>
      </c>
      <c r="S26" s="119">
        <f t="shared" si="2"/>
        <v>0</v>
      </c>
      <c r="T26" s="119">
        <f t="shared" si="2"/>
        <v>0</v>
      </c>
      <c r="U26" s="119">
        <f t="shared" si="2"/>
        <v>0</v>
      </c>
      <c r="V26" s="119">
        <f t="shared" si="2"/>
        <v>0</v>
      </c>
      <c r="W26" s="119">
        <f t="shared" si="2"/>
        <v>0</v>
      </c>
      <c r="X26" s="119">
        <f t="shared" si="2"/>
        <v>0</v>
      </c>
      <c r="Y26" s="119">
        <f t="shared" si="2"/>
        <v>0</v>
      </c>
      <c r="Z26" s="119">
        <f t="shared" si="2"/>
        <v>0</v>
      </c>
      <c r="AA26" s="119">
        <f t="shared" si="2"/>
        <v>0</v>
      </c>
      <c r="AB26" s="119">
        <f t="shared" si="2"/>
        <v>0</v>
      </c>
      <c r="AC26" s="119">
        <f t="shared" si="2"/>
        <v>0</v>
      </c>
      <c r="AD26" s="119">
        <f t="shared" si="2"/>
        <v>0</v>
      </c>
    </row>
    <row r="27" spans="2:31" outlineLevel="1" x14ac:dyDescent="0.3">
      <c r="C27" s="309" t="s">
        <v>0</v>
      </c>
      <c r="E27" s="118" t="s">
        <v>203</v>
      </c>
      <c r="F27" s="120">
        <f>+'SITES Conld. P&amp;L'!D69/A1</f>
        <v>0</v>
      </c>
      <c r="G27" s="120">
        <v>0</v>
      </c>
      <c r="H27" s="120">
        <v>0</v>
      </c>
      <c r="I27" s="120">
        <v>0</v>
      </c>
      <c r="J27" s="120">
        <v>0</v>
      </c>
      <c r="K27" s="120">
        <v>0</v>
      </c>
      <c r="L27" s="120">
        <v>0</v>
      </c>
      <c r="M27" s="120">
        <v>0</v>
      </c>
      <c r="N27" s="120">
        <v>0</v>
      </c>
      <c r="O27" s="120">
        <v>0</v>
      </c>
      <c r="P27" s="120">
        <v>0</v>
      </c>
      <c r="Q27" s="120">
        <v>0</v>
      </c>
      <c r="R27" s="120">
        <v>0</v>
      </c>
      <c r="S27" s="120">
        <v>0</v>
      </c>
      <c r="T27" s="120">
        <v>0</v>
      </c>
      <c r="U27" s="120">
        <v>0</v>
      </c>
      <c r="V27" s="120">
        <v>0</v>
      </c>
      <c r="W27" s="120">
        <v>0</v>
      </c>
      <c r="X27" s="120">
        <v>0</v>
      </c>
      <c r="Y27" s="120">
        <v>0</v>
      </c>
      <c r="Z27" s="120">
        <v>0</v>
      </c>
      <c r="AA27" s="120">
        <v>0</v>
      </c>
      <c r="AB27" s="120">
        <v>0</v>
      </c>
      <c r="AC27" s="120">
        <v>0</v>
      </c>
      <c r="AD27" s="120">
        <v>0</v>
      </c>
      <c r="AE27" s="125">
        <f t="shared" ref="AE27:AE33" si="3">SUM(F27:AD27)</f>
        <v>0</v>
      </c>
    </row>
    <row r="28" spans="2:31" outlineLevel="1" x14ac:dyDescent="0.3">
      <c r="C28" s="309" t="s">
        <v>49</v>
      </c>
      <c r="E28" s="118" t="s">
        <v>203</v>
      </c>
      <c r="F28" s="120">
        <f>+'SITES Conld. P&amp;L'!D72/A1</f>
        <v>430</v>
      </c>
      <c r="G28" s="120">
        <f>+'SITES Conld. P&amp;L'!E69/$A$1</f>
        <v>0</v>
      </c>
      <c r="H28" s="120">
        <f>+'SITES Conld. P&amp;L'!F69/$A$1</f>
        <v>0</v>
      </c>
      <c r="I28" s="120">
        <f>+'SITES Conld. P&amp;L'!G69/$A$1</f>
        <v>0</v>
      </c>
      <c r="J28" s="120">
        <f>+'SITES Conld. P&amp;L'!H69/$A$1</f>
        <v>0</v>
      </c>
      <c r="K28" s="120">
        <f>+'SITES Conld. P&amp;L'!I69/$A$1</f>
        <v>0</v>
      </c>
      <c r="L28" s="120">
        <f>+'SITES Conld. P&amp;L'!J69/$A$1</f>
        <v>0</v>
      </c>
      <c r="M28" s="120">
        <f>+'SITES Conld. P&amp;L'!K69/$A$1</f>
        <v>0</v>
      </c>
      <c r="N28" s="120">
        <f>+'SITES Conld. P&amp;L'!L69/$A$1</f>
        <v>0</v>
      </c>
      <c r="O28" s="120">
        <f>+'SITES Conld. P&amp;L'!M69/$A$1</f>
        <v>0</v>
      </c>
      <c r="P28" s="120">
        <f>+'SITES Conld. P&amp;L'!N69/$A$1</f>
        <v>0</v>
      </c>
      <c r="Q28" s="120">
        <f>+'SITES Conld. P&amp;L'!O69/$A$1</f>
        <v>0</v>
      </c>
      <c r="R28" s="120">
        <f>+'SITES Conld. P&amp;L'!P69/$A$1</f>
        <v>0</v>
      </c>
      <c r="S28" s="120">
        <f>+'SITES Conld. P&amp;L'!Q69/$A$1</f>
        <v>0</v>
      </c>
      <c r="T28" s="120">
        <f>+'SITES Conld. P&amp;L'!R69/$A$1</f>
        <v>0</v>
      </c>
      <c r="U28" s="120">
        <f>+'SITES Conld. P&amp;L'!S69/$A$1</f>
        <v>0</v>
      </c>
      <c r="V28" s="120">
        <f>+'SITES Conld. P&amp;L'!T69/$A$1</f>
        <v>0</v>
      </c>
      <c r="W28" s="120">
        <f>+'SITES Conld. P&amp;L'!U69/$A$1</f>
        <v>0</v>
      </c>
      <c r="X28" s="120">
        <f>+'SITES Conld. P&amp;L'!V69/$A$1</f>
        <v>0</v>
      </c>
      <c r="Y28" s="120">
        <f>+'SITES Conld. P&amp;L'!W69/$A$1</f>
        <v>0</v>
      </c>
      <c r="Z28" s="120">
        <f>+'SITES Conld. P&amp;L'!X69/$A$1</f>
        <v>0</v>
      </c>
      <c r="AA28" s="120">
        <f>+'SITES Conld. P&amp;L'!Y69/$A$1</f>
        <v>0</v>
      </c>
      <c r="AB28" s="120">
        <f>+'SITES Conld. P&amp;L'!Z69/$A$1</f>
        <v>0</v>
      </c>
      <c r="AC28" s="120">
        <f>+'SITES Conld. P&amp;L'!AA69/$A$1</f>
        <v>0</v>
      </c>
      <c r="AD28" s="120">
        <f>+'SITES Conld. P&amp;L'!AB69/$A$1</f>
        <v>0</v>
      </c>
      <c r="AE28" s="125">
        <f t="shared" si="3"/>
        <v>430</v>
      </c>
    </row>
    <row r="29" spans="2:31" outlineLevel="1" x14ac:dyDescent="0.3">
      <c r="C29" s="309" t="s">
        <v>50</v>
      </c>
      <c r="E29" s="118" t="s">
        <v>203</v>
      </c>
      <c r="F29" s="120">
        <f>+'SITES Conld. P&amp;L'!D70/A1</f>
        <v>0</v>
      </c>
      <c r="G29" s="120">
        <f>+'SITES Conld. P&amp;L'!E70/$A$1</f>
        <v>0</v>
      </c>
      <c r="H29" s="120">
        <f>+'SITES Conld. P&amp;L'!F70/$A$1</f>
        <v>0</v>
      </c>
      <c r="I29" s="120">
        <f>+'SITES Conld. P&amp;L'!G70/$A$1</f>
        <v>0</v>
      </c>
      <c r="J29" s="120">
        <f>+'SITES Conld. P&amp;L'!H70/$A$1</f>
        <v>0</v>
      </c>
      <c r="K29" s="120">
        <f>+'SITES Conld. P&amp;L'!I70/$A$1</f>
        <v>0</v>
      </c>
      <c r="L29" s="120">
        <f>+'SITES Conld. P&amp;L'!J70/$A$1</f>
        <v>0</v>
      </c>
      <c r="M29" s="120">
        <f>+'SITES Conld. P&amp;L'!K70/$A$1</f>
        <v>0</v>
      </c>
      <c r="N29" s="120">
        <f>+'SITES Conld. P&amp;L'!L70/$A$1</f>
        <v>0</v>
      </c>
      <c r="O29" s="120">
        <f>+'SITES Conld. P&amp;L'!M70/$A$1</f>
        <v>0</v>
      </c>
      <c r="P29" s="120">
        <f>+'SITES Conld. P&amp;L'!N70/$A$1</f>
        <v>0</v>
      </c>
      <c r="Q29" s="120">
        <f>+'SITES Conld. P&amp;L'!O70/$A$1</f>
        <v>0</v>
      </c>
      <c r="R29" s="120">
        <f>+'SITES Conld. P&amp;L'!P70/$A$1</f>
        <v>0</v>
      </c>
      <c r="S29" s="120">
        <f>+'SITES Conld. P&amp;L'!Q70/$A$1</f>
        <v>0</v>
      </c>
      <c r="T29" s="120">
        <f>+'SITES Conld. P&amp;L'!R70/$A$1</f>
        <v>0</v>
      </c>
      <c r="U29" s="120">
        <f>+'SITES Conld. P&amp;L'!S70/$A$1</f>
        <v>0</v>
      </c>
      <c r="V29" s="120">
        <f>+'SITES Conld. P&amp;L'!T70/$A$1</f>
        <v>0</v>
      </c>
      <c r="W29" s="120">
        <f>+'SITES Conld. P&amp;L'!U70/$A$1</f>
        <v>0</v>
      </c>
      <c r="X29" s="120">
        <f>+'SITES Conld. P&amp;L'!V70/$A$1</f>
        <v>0</v>
      </c>
      <c r="Y29" s="120">
        <f>+'SITES Conld. P&amp;L'!W70/$A$1</f>
        <v>0</v>
      </c>
      <c r="Z29" s="120">
        <f>+'SITES Conld. P&amp;L'!X70/$A$1</f>
        <v>0</v>
      </c>
      <c r="AA29" s="120">
        <f>+'SITES Conld. P&amp;L'!Y70/$A$1</f>
        <v>0</v>
      </c>
      <c r="AB29" s="120">
        <f>+'SITES Conld. P&amp;L'!Z70/$A$1</f>
        <v>0</v>
      </c>
      <c r="AC29" s="120">
        <f>+'SITES Conld. P&amp;L'!AA70/$A$1</f>
        <v>0</v>
      </c>
      <c r="AD29" s="120">
        <f>+'SITES Conld. P&amp;L'!AB70/$A$1</f>
        <v>0</v>
      </c>
      <c r="AE29" s="125">
        <f>SUM(F29:AD29)</f>
        <v>0</v>
      </c>
    </row>
    <row r="30" spans="2:31" outlineLevel="1" x14ac:dyDescent="0.3">
      <c r="C30" s="309" t="s">
        <v>51</v>
      </c>
      <c r="E30" s="118" t="s">
        <v>203</v>
      </c>
      <c r="F30" s="120">
        <f>+'SITES Conld. P&amp;L'!D71/$A$1</f>
        <v>-77.819163195155284</v>
      </c>
      <c r="G30" s="120">
        <f>+'SITES Conld. P&amp;L'!E71/$A$1</f>
        <v>-81.710121354913042</v>
      </c>
      <c r="H30" s="120">
        <f>+'SITES Conld. P&amp;L'!F71/$A$1</f>
        <v>-85.795627422658697</v>
      </c>
      <c r="I30" s="120">
        <f>+'SITES Conld. P&amp;L'!G71/$A$1</f>
        <v>-90.085408793791629</v>
      </c>
      <c r="J30" s="120">
        <f>+'SITES Conld. P&amp;L'!H71/$A$1</f>
        <v>-94.58967923348122</v>
      </c>
      <c r="K30" s="120">
        <f>+'SITES Conld. P&amp;L'!I71/$A$1</f>
        <v>0</v>
      </c>
      <c r="L30" s="120">
        <f>+'SITES Conld. P&amp;L'!J71/$A$1</f>
        <v>0</v>
      </c>
      <c r="M30" s="120">
        <f>+'SITES Conld. P&amp;L'!K71/$A$1</f>
        <v>0</v>
      </c>
      <c r="N30" s="120">
        <f>+'SITES Conld. P&amp;L'!L71/$A$1</f>
        <v>0</v>
      </c>
      <c r="O30" s="120">
        <f>+'SITES Conld. P&amp;L'!M71/$A$1</f>
        <v>0</v>
      </c>
      <c r="P30" s="120">
        <f>+'SITES Conld. P&amp;L'!N71/$A$1</f>
        <v>0</v>
      </c>
      <c r="Q30" s="120">
        <f>+'SITES Conld. P&amp;L'!O71/$A$1</f>
        <v>0</v>
      </c>
      <c r="R30" s="120">
        <f>+'SITES Conld. P&amp;L'!P71/$A$1</f>
        <v>0</v>
      </c>
      <c r="S30" s="120">
        <f>+'SITES Conld. P&amp;L'!Q71/$A$1</f>
        <v>0</v>
      </c>
      <c r="T30" s="120">
        <f>+'SITES Conld. P&amp;L'!R71/$A$1</f>
        <v>0</v>
      </c>
      <c r="U30" s="120">
        <f>+'SITES Conld. P&amp;L'!S71/$A$1</f>
        <v>0</v>
      </c>
      <c r="V30" s="120">
        <f>+'SITES Conld. P&amp;L'!T71/$A$1</f>
        <v>0</v>
      </c>
      <c r="W30" s="120">
        <f>+'SITES Conld. P&amp;L'!U71/$A$1</f>
        <v>0</v>
      </c>
      <c r="X30" s="120">
        <f>+'SITES Conld. P&amp;L'!V71/$A$1</f>
        <v>0</v>
      </c>
      <c r="Y30" s="120">
        <f>+'SITES Conld. P&amp;L'!W71/$A$1</f>
        <v>0</v>
      </c>
      <c r="Z30" s="120">
        <f>+'SITES Conld. P&amp;L'!X71/$A$1</f>
        <v>0</v>
      </c>
      <c r="AA30" s="120">
        <f>+'SITES Conld. P&amp;L'!Y71/$A$1</f>
        <v>0</v>
      </c>
      <c r="AB30" s="120">
        <f>+'SITES Conld. P&amp;L'!Z71/$A$1</f>
        <v>0</v>
      </c>
      <c r="AC30" s="120">
        <f>+'SITES Conld. P&amp;L'!AA71/$A$1</f>
        <v>0</v>
      </c>
      <c r="AD30" s="120">
        <f>+'SITES Conld. P&amp;L'!AB71/$A$1</f>
        <v>0</v>
      </c>
      <c r="AE30" s="125">
        <f>SUM(F30:AD30)</f>
        <v>-429.99999999999989</v>
      </c>
    </row>
    <row r="31" spans="2:31" outlineLevel="1" x14ac:dyDescent="0.3">
      <c r="C31" s="309" t="s">
        <v>11</v>
      </c>
      <c r="E31" s="118" t="s">
        <v>203</v>
      </c>
      <c r="F31" s="120">
        <f>+'SITES Conld. P&amp;L'!D67/A1</f>
        <v>50</v>
      </c>
      <c r="G31" s="120">
        <v>0</v>
      </c>
      <c r="H31" s="120">
        <v>0</v>
      </c>
      <c r="I31" s="120">
        <v>0</v>
      </c>
      <c r="J31" s="120">
        <v>0</v>
      </c>
      <c r="K31" s="120">
        <v>0</v>
      </c>
      <c r="L31" s="120">
        <v>0</v>
      </c>
      <c r="M31" s="120">
        <v>0</v>
      </c>
      <c r="N31" s="120">
        <v>0</v>
      </c>
      <c r="O31" s="120">
        <v>0</v>
      </c>
      <c r="P31" s="120">
        <v>0</v>
      </c>
      <c r="Q31" s="120">
        <v>0</v>
      </c>
      <c r="R31" s="120">
        <v>0</v>
      </c>
      <c r="S31" s="120">
        <v>0</v>
      </c>
      <c r="T31" s="120">
        <v>0</v>
      </c>
      <c r="U31" s="120">
        <v>0</v>
      </c>
      <c r="V31" s="120">
        <v>0</v>
      </c>
      <c r="W31" s="120">
        <v>0</v>
      </c>
      <c r="X31" s="120">
        <v>0</v>
      </c>
      <c r="Y31" s="120">
        <v>0</v>
      </c>
      <c r="Z31" s="120">
        <v>0</v>
      </c>
      <c r="AA31" s="120">
        <v>0</v>
      </c>
      <c r="AB31" s="120">
        <v>0</v>
      </c>
      <c r="AC31" s="120">
        <v>0</v>
      </c>
      <c r="AD31" s="120">
        <v>0</v>
      </c>
      <c r="AE31" s="125">
        <f t="shared" si="3"/>
        <v>50</v>
      </c>
    </row>
    <row r="32" spans="2:31" outlineLevel="1" x14ac:dyDescent="0.3">
      <c r="C32" s="309" t="s">
        <v>52</v>
      </c>
      <c r="E32" s="118" t="s">
        <v>203</v>
      </c>
      <c r="F32" s="120">
        <f>+'SITES Conld. P&amp;L'!D68/$A$1</f>
        <v>-9.2313556746516969</v>
      </c>
      <c r="G32" s="120">
        <f>+'SITES Conld. P&amp;L'!E68/$A$1</f>
        <v>-9.6006099016377622</v>
      </c>
      <c r="H32" s="120">
        <f>+'SITES Conld. P&amp;L'!F68/$A$1</f>
        <v>-9.9846342977032752</v>
      </c>
      <c r="I32" s="120">
        <f>+'SITES Conld. P&amp;L'!G68/$A$1</f>
        <v>-10.384019669611405</v>
      </c>
      <c r="J32" s="120">
        <f>+'SITES Conld. P&amp;L'!H68/$A$1</f>
        <v>-10.799380456395863</v>
      </c>
      <c r="K32" s="120">
        <f>+'SITES Conld. P&amp;L'!I68/$A$1</f>
        <v>0</v>
      </c>
      <c r="L32" s="120">
        <f>+'SITES Conld. P&amp;L'!J68/$A$1</f>
        <v>0</v>
      </c>
      <c r="M32" s="120">
        <f>+'SITES Conld. P&amp;L'!K68/$A$1</f>
        <v>0</v>
      </c>
      <c r="N32" s="120">
        <f>+'SITES Conld. P&amp;L'!L68/$A$1</f>
        <v>0</v>
      </c>
      <c r="O32" s="120">
        <f>+'SITES Conld. P&amp;L'!M68/$A$1</f>
        <v>0</v>
      </c>
      <c r="P32" s="120">
        <f>+'SITES Conld. P&amp;L'!N68/$A$1</f>
        <v>0</v>
      </c>
      <c r="Q32" s="120">
        <f>+'SITES Conld. P&amp;L'!O68/$A$1</f>
        <v>0</v>
      </c>
      <c r="R32" s="120">
        <f>+'SITES Conld. P&amp;L'!P68/$A$1</f>
        <v>0</v>
      </c>
      <c r="S32" s="120">
        <f>+'SITES Conld. P&amp;L'!Q68/$A$1</f>
        <v>0</v>
      </c>
      <c r="T32" s="120">
        <f>+'SITES Conld. P&amp;L'!R68/$A$1</f>
        <v>0</v>
      </c>
      <c r="U32" s="120">
        <f>+'SITES Conld. P&amp;L'!S68/$A$1</f>
        <v>0</v>
      </c>
      <c r="V32" s="120">
        <f>+'SITES Conld. P&amp;L'!T68/$A$1</f>
        <v>0</v>
      </c>
      <c r="W32" s="120">
        <f>+'SITES Conld. P&amp;L'!U68/$A$1</f>
        <v>0</v>
      </c>
      <c r="X32" s="120">
        <f>+'SITES Conld. P&amp;L'!V68/$A$1</f>
        <v>0</v>
      </c>
      <c r="Y32" s="120">
        <f>+'SITES Conld. P&amp;L'!W68/$A$1</f>
        <v>0</v>
      </c>
      <c r="Z32" s="120">
        <f>+'SITES Conld. P&amp;L'!X68/$A$1</f>
        <v>0</v>
      </c>
      <c r="AA32" s="120">
        <f>+'SITES Conld. P&amp;L'!Y68/$A$1</f>
        <v>0</v>
      </c>
      <c r="AB32" s="120">
        <f>+'SITES Conld. P&amp;L'!Z68/$A$1</f>
        <v>0</v>
      </c>
      <c r="AC32" s="120">
        <f>+'SITES Conld. P&amp;L'!AA68/$A$1</f>
        <v>0</v>
      </c>
      <c r="AD32" s="120">
        <f>+'SITES Conld. P&amp;L'!AB68/$A$1</f>
        <v>0</v>
      </c>
      <c r="AE32" s="125">
        <f t="shared" si="3"/>
        <v>-50</v>
      </c>
    </row>
    <row r="33" spans="2:31" outlineLevel="1" x14ac:dyDescent="0.3">
      <c r="C33" s="309" t="s">
        <v>53</v>
      </c>
      <c r="E33" s="118" t="s">
        <v>203</v>
      </c>
      <c r="F33" s="120">
        <v>0</v>
      </c>
      <c r="G33" s="120">
        <v>0</v>
      </c>
      <c r="H33" s="120">
        <v>0</v>
      </c>
      <c r="I33" s="120">
        <v>0</v>
      </c>
      <c r="J33" s="120">
        <v>0</v>
      </c>
      <c r="K33" s="120">
        <v>0</v>
      </c>
      <c r="L33" s="120">
        <v>0</v>
      </c>
      <c r="M33" s="120">
        <v>0</v>
      </c>
      <c r="N33" s="120">
        <v>0</v>
      </c>
      <c r="O33" s="120">
        <v>0</v>
      </c>
      <c r="P33" s="120">
        <v>0</v>
      </c>
      <c r="Q33" s="120">
        <v>0</v>
      </c>
      <c r="R33" s="120">
        <v>0</v>
      </c>
      <c r="S33" s="120">
        <v>0</v>
      </c>
      <c r="T33" s="120">
        <v>0</v>
      </c>
      <c r="U33" s="120">
        <v>0</v>
      </c>
      <c r="V33" s="120">
        <v>0</v>
      </c>
      <c r="W33" s="120">
        <v>0</v>
      </c>
      <c r="X33" s="120">
        <v>0</v>
      </c>
      <c r="Y33" s="120">
        <v>0</v>
      </c>
      <c r="Z33" s="120">
        <v>0</v>
      </c>
      <c r="AA33" s="120">
        <v>0</v>
      </c>
      <c r="AB33" s="120">
        <v>0</v>
      </c>
      <c r="AC33" s="120">
        <v>0</v>
      </c>
      <c r="AD33" s="120">
        <v>0</v>
      </c>
      <c r="AE33" s="125">
        <f t="shared" si="3"/>
        <v>0</v>
      </c>
    </row>
    <row r="34" spans="2:31" outlineLevel="1" x14ac:dyDescent="0.3">
      <c r="E34" s="118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</row>
    <row r="35" spans="2:31" s="178" customFormat="1" ht="21" x14ac:dyDescent="0.4">
      <c r="B35" s="177" t="s">
        <v>54</v>
      </c>
      <c r="E35" s="118" t="s">
        <v>203</v>
      </c>
      <c r="F35" s="179">
        <f t="shared" ref="F35:AD35" si="4">F4+F22+F26</f>
        <v>306.1684811301929</v>
      </c>
      <c r="G35" s="179">
        <f t="shared" si="4"/>
        <v>448.38520184013493</v>
      </c>
      <c r="H35" s="179">
        <f t="shared" si="4"/>
        <v>631.50886279227723</v>
      </c>
      <c r="I35" s="179">
        <f t="shared" si="4"/>
        <v>788.98861922299602</v>
      </c>
      <c r="J35" s="179">
        <f t="shared" si="4"/>
        <v>1137.2552349200225</v>
      </c>
      <c r="K35" s="179">
        <f t="shared" si="4"/>
        <v>1256.266505998929</v>
      </c>
      <c r="L35" s="179">
        <f t="shared" si="4"/>
        <v>1268.7216710589173</v>
      </c>
      <c r="M35" s="179">
        <f t="shared" si="4"/>
        <v>1281.3013877695057</v>
      </c>
      <c r="N35" s="179">
        <f t="shared" si="4"/>
        <v>1294.0069016472012</v>
      </c>
      <c r="O35" s="179">
        <f t="shared" si="4"/>
        <v>1306.8394706636764</v>
      </c>
      <c r="P35" s="179">
        <f t="shared" si="4"/>
        <v>1414.0503653703108</v>
      </c>
      <c r="Q35" s="179">
        <f t="shared" si="4"/>
        <v>1322.1408690240137</v>
      </c>
      <c r="R35" s="179">
        <f t="shared" si="4"/>
        <v>1335.3622777142537</v>
      </c>
      <c r="S35" s="179">
        <f t="shared" si="4"/>
        <v>1348.7159004913967</v>
      </c>
      <c r="T35" s="179">
        <f t="shared" si="4"/>
        <v>1362.2030594963089</v>
      </c>
      <c r="U35" s="179">
        <f t="shared" si="4"/>
        <v>1375.8250900912731</v>
      </c>
      <c r="V35" s="179">
        <f t="shared" si="4"/>
        <v>1389.5833409921875</v>
      </c>
      <c r="W35" s="179">
        <f t="shared" si="4"/>
        <v>1403.4791744021068</v>
      </c>
      <c r="X35" s="179">
        <f t="shared" si="4"/>
        <v>1417.5139661461276</v>
      </c>
      <c r="Y35" s="179">
        <f t="shared" si="4"/>
        <v>1431.6891058075867</v>
      </c>
      <c r="Z35" s="179">
        <f t="shared" si="4"/>
        <v>1446.0059968656642</v>
      </c>
      <c r="AA35" s="179">
        <f t="shared" si="4"/>
        <v>1460.4660568343206</v>
      </c>
      <c r="AB35" s="179">
        <f t="shared" si="4"/>
        <v>1475.0707174026661</v>
      </c>
      <c r="AC35" s="179">
        <f t="shared" si="4"/>
        <v>1489.8214245766899</v>
      </c>
      <c r="AD35" s="179">
        <f t="shared" si="4"/>
        <v>1504.7196388224565</v>
      </c>
    </row>
    <row r="36" spans="2:31" s="178" customFormat="1" ht="21" collapsed="1" x14ac:dyDescent="0.4">
      <c r="B36" s="177" t="s">
        <v>55</v>
      </c>
      <c r="E36" s="118" t="s">
        <v>203</v>
      </c>
      <c r="F36" s="179">
        <f>SUM($F35:F35)</f>
        <v>306.1684811301929</v>
      </c>
      <c r="G36" s="179">
        <f>SUM($F35:G35)</f>
        <v>754.55368297032783</v>
      </c>
      <c r="H36" s="179">
        <f>SUM($F35:H35)</f>
        <v>1386.0625457626052</v>
      </c>
      <c r="I36" s="179">
        <f>SUM($F35:I35)</f>
        <v>2175.0511649856012</v>
      </c>
      <c r="J36" s="179">
        <f>SUM($F35:J35)</f>
        <v>3312.3063999056239</v>
      </c>
      <c r="K36" s="179">
        <f>SUM($F35:K35)</f>
        <v>4568.5729059045534</v>
      </c>
      <c r="L36" s="179">
        <f>SUM($F35:L35)</f>
        <v>5837.2945769634707</v>
      </c>
      <c r="M36" s="179">
        <f>SUM($F35:M35)</f>
        <v>7118.5959647329764</v>
      </c>
      <c r="N36" s="179">
        <f>SUM($F35:N35)</f>
        <v>8412.6028663801771</v>
      </c>
      <c r="O36" s="179">
        <f>SUM($F35:O35)</f>
        <v>9719.4423370438526</v>
      </c>
      <c r="P36" s="179">
        <f>SUM($F35:P35)</f>
        <v>11133.492702414163</v>
      </c>
      <c r="Q36" s="179">
        <f>SUM($F35:Q35)</f>
        <v>12455.633571438177</v>
      </c>
      <c r="R36" s="179">
        <f>SUM($F35:R35)</f>
        <v>13790.99584915243</v>
      </c>
      <c r="S36" s="179">
        <f>SUM($F35:S35)</f>
        <v>15139.711749643828</v>
      </c>
      <c r="T36" s="179">
        <f>SUM($F35:T35)</f>
        <v>16501.914809140137</v>
      </c>
      <c r="U36" s="179">
        <f>SUM($F35:U35)</f>
        <v>17877.739899231408</v>
      </c>
      <c r="V36" s="179">
        <f>SUM($F35:V35)</f>
        <v>19267.323240223595</v>
      </c>
      <c r="W36" s="179">
        <f>SUM($F35:W35)</f>
        <v>20670.802414625701</v>
      </c>
      <c r="X36" s="179">
        <f>SUM($F35:X35)</f>
        <v>22088.31638077183</v>
      </c>
      <c r="Y36" s="179">
        <f>SUM($F35:Y35)</f>
        <v>23520.005486579415</v>
      </c>
      <c r="Z36" s="179">
        <f>SUM($F35:Z35)</f>
        <v>24966.01148344508</v>
      </c>
      <c r="AA36" s="179">
        <f>SUM($F35:AA35)</f>
        <v>26426.4775402794</v>
      </c>
      <c r="AB36" s="179">
        <f>SUM($F35:AB35)</f>
        <v>27901.548257682065</v>
      </c>
      <c r="AC36" s="179">
        <f>SUM($F35:AC35)</f>
        <v>29391.369682258755</v>
      </c>
      <c r="AD36" s="179">
        <f>SUM($F35:AD35)</f>
        <v>30896.089321081214</v>
      </c>
    </row>
    <row r="37" spans="2:31" x14ac:dyDescent="0.3">
      <c r="F37" s="126">
        <f>+'SITES Conld. P&amp;L'!D74/$A$1-F36</f>
        <v>0</v>
      </c>
      <c r="G37" s="126">
        <f>+'SITES Conld. P&amp;L'!E74/$A$1-G36</f>
        <v>0</v>
      </c>
      <c r="H37" s="126">
        <f>+'SITES Conld. P&amp;L'!F74/$A$1-H36</f>
        <v>0</v>
      </c>
      <c r="I37" s="126">
        <f>+'SITES Conld. P&amp;L'!G74/$A$1-I36</f>
        <v>0</v>
      </c>
      <c r="J37" s="126">
        <f>+'SITES Conld. P&amp;L'!H74/$A$1-J36</f>
        <v>0</v>
      </c>
      <c r="K37" s="126">
        <f>+'SITES Conld. P&amp;L'!I74/$A$1-K36</f>
        <v>0</v>
      </c>
      <c r="L37" s="126">
        <f>+'SITES Conld. P&amp;L'!J74/$A$1-L36</f>
        <v>0</v>
      </c>
      <c r="M37" s="126">
        <f>+'SITES Conld. P&amp;L'!K74/$A$1-M36</f>
        <v>0</v>
      </c>
      <c r="N37" s="126">
        <f>+'SITES Conld. P&amp;L'!L74/$A$1-N36</f>
        <v>0</v>
      </c>
      <c r="O37" s="126">
        <f>+'SITES Conld. P&amp;L'!M74/$A$1-O36</f>
        <v>0</v>
      </c>
      <c r="P37" s="126">
        <f>+'SITES Conld. P&amp;L'!N74/$A$1-P36</f>
        <v>0</v>
      </c>
      <c r="Q37" s="126">
        <f>+'SITES Conld. P&amp;L'!O74/$A$1-Q36</f>
        <v>0</v>
      </c>
      <c r="R37" s="126">
        <f>+'SITES Conld. P&amp;L'!P74/$A$1-R36</f>
        <v>0</v>
      </c>
      <c r="S37" s="126">
        <f>+'SITES Conld. P&amp;L'!Q74/$A$1-S36</f>
        <v>0</v>
      </c>
      <c r="T37" s="126">
        <f>+'SITES Conld. P&amp;L'!R74/$A$1-T36</f>
        <v>0</v>
      </c>
      <c r="U37" s="126">
        <f>+'SITES Conld. P&amp;L'!S74/$A$1-U36</f>
        <v>0</v>
      </c>
      <c r="V37" s="126">
        <f>+'SITES Conld. P&amp;L'!T74/$A$1-V36</f>
        <v>0</v>
      </c>
      <c r="W37" s="126">
        <f>+'SITES Conld. P&amp;L'!U74/$A$1-W36</f>
        <v>0</v>
      </c>
      <c r="X37" s="126">
        <f>+'SITES Conld. P&amp;L'!V74/$A$1-X36</f>
        <v>0</v>
      </c>
      <c r="Y37" s="126">
        <f>+'SITES Conld. P&amp;L'!W74/$A$1-Y36</f>
        <v>0</v>
      </c>
      <c r="Z37" s="126">
        <f>+'SITES Conld. P&amp;L'!X74/$A$1-Z36</f>
        <v>0</v>
      </c>
      <c r="AA37" s="126">
        <f>+'SITES Conld. P&amp;L'!Y74/$A$1-AA36</f>
        <v>0</v>
      </c>
      <c r="AB37" s="126">
        <f>+'SITES Conld. P&amp;L'!Z74/$A$1-AB36</f>
        <v>0</v>
      </c>
      <c r="AC37" s="126">
        <f>+'SITES Conld. P&amp;L'!AA74/$A$1-AC36</f>
        <v>0</v>
      </c>
      <c r="AD37" s="126">
        <f>+'SITES Conld. P&amp;L'!AB74/$A$1-AD36</f>
        <v>0</v>
      </c>
    </row>
    <row r="40" spans="2:31" x14ac:dyDescent="0.3">
      <c r="B40" s="128" t="s">
        <v>56</v>
      </c>
      <c r="C40" s="129"/>
      <c r="D40" s="129"/>
      <c r="E40" s="129"/>
      <c r="F40" s="129"/>
      <c r="G40" s="129"/>
    </row>
    <row r="41" spans="2:31" x14ac:dyDescent="0.3">
      <c r="B41" s="129"/>
      <c r="C41" s="129" t="s">
        <v>57</v>
      </c>
      <c r="D41" s="129"/>
      <c r="E41" s="118" t="s">
        <v>203</v>
      </c>
      <c r="F41" s="125">
        <f>+F35</f>
        <v>306.1684811301929</v>
      </c>
      <c r="G41" s="125">
        <f t="shared" ref="G41:AD42" si="5">+G35</f>
        <v>448.38520184013493</v>
      </c>
      <c r="H41" s="125">
        <f t="shared" si="5"/>
        <v>631.50886279227723</v>
      </c>
      <c r="I41" s="125">
        <f t="shared" si="5"/>
        <v>788.98861922299602</v>
      </c>
      <c r="J41" s="125">
        <f t="shared" si="5"/>
        <v>1137.2552349200225</v>
      </c>
      <c r="K41" s="125">
        <f t="shared" si="5"/>
        <v>1256.266505998929</v>
      </c>
      <c r="L41" s="125">
        <f t="shared" si="5"/>
        <v>1268.7216710589173</v>
      </c>
      <c r="M41" s="125">
        <f t="shared" si="5"/>
        <v>1281.3013877695057</v>
      </c>
      <c r="N41" s="125">
        <f t="shared" si="5"/>
        <v>1294.0069016472012</v>
      </c>
      <c r="O41" s="125">
        <f t="shared" si="5"/>
        <v>1306.8394706636764</v>
      </c>
      <c r="P41" s="125">
        <f t="shared" si="5"/>
        <v>1414.0503653703108</v>
      </c>
      <c r="Q41" s="125">
        <f t="shared" si="5"/>
        <v>1322.1408690240137</v>
      </c>
      <c r="R41" s="125">
        <f t="shared" si="5"/>
        <v>1335.3622777142537</v>
      </c>
      <c r="S41" s="125">
        <f t="shared" si="5"/>
        <v>1348.7159004913967</v>
      </c>
      <c r="T41" s="125">
        <f t="shared" si="5"/>
        <v>1362.2030594963089</v>
      </c>
      <c r="U41" s="125">
        <f t="shared" si="5"/>
        <v>1375.8250900912731</v>
      </c>
      <c r="V41" s="125">
        <f t="shared" si="5"/>
        <v>1389.5833409921875</v>
      </c>
      <c r="W41" s="125">
        <f t="shared" si="5"/>
        <v>1403.4791744021068</v>
      </c>
      <c r="X41" s="125">
        <f t="shared" si="5"/>
        <v>1417.5139661461276</v>
      </c>
      <c r="Y41" s="125">
        <f t="shared" si="5"/>
        <v>1431.6891058075867</v>
      </c>
      <c r="Z41" s="125">
        <f t="shared" si="5"/>
        <v>1446.0059968656642</v>
      </c>
      <c r="AA41" s="125">
        <f t="shared" si="5"/>
        <v>1460.4660568343206</v>
      </c>
      <c r="AB41" s="125">
        <f t="shared" si="5"/>
        <v>1475.0707174026661</v>
      </c>
      <c r="AC41" s="125">
        <f t="shared" si="5"/>
        <v>1489.8214245766899</v>
      </c>
      <c r="AD41" s="125">
        <f t="shared" si="5"/>
        <v>1504.7196388224565</v>
      </c>
    </row>
    <row r="42" spans="2:31" x14ac:dyDescent="0.3">
      <c r="B42" s="129"/>
      <c r="C42" s="129" t="s">
        <v>58</v>
      </c>
      <c r="D42" s="129"/>
      <c r="E42" s="118" t="s">
        <v>203</v>
      </c>
      <c r="F42" s="125">
        <f>+F36</f>
        <v>306.1684811301929</v>
      </c>
      <c r="G42" s="125">
        <f t="shared" si="5"/>
        <v>754.55368297032783</v>
      </c>
      <c r="H42" s="125">
        <f t="shared" si="5"/>
        <v>1386.0625457626052</v>
      </c>
      <c r="I42" s="125">
        <f t="shared" si="5"/>
        <v>2175.0511649856012</v>
      </c>
      <c r="J42" s="125">
        <f t="shared" si="5"/>
        <v>3312.3063999056239</v>
      </c>
      <c r="K42" s="125">
        <f t="shared" si="5"/>
        <v>4568.5729059045534</v>
      </c>
      <c r="L42" s="125">
        <f t="shared" si="5"/>
        <v>5837.2945769634707</v>
      </c>
      <c r="M42" s="125">
        <f t="shared" si="5"/>
        <v>7118.5959647329764</v>
      </c>
      <c r="N42" s="125">
        <f t="shared" si="5"/>
        <v>8412.6028663801771</v>
      </c>
      <c r="O42" s="125">
        <f t="shared" si="5"/>
        <v>9719.4423370438526</v>
      </c>
      <c r="P42" s="125">
        <f t="shared" si="5"/>
        <v>11133.492702414163</v>
      </c>
      <c r="Q42" s="125">
        <f t="shared" si="5"/>
        <v>12455.633571438177</v>
      </c>
      <c r="R42" s="125">
        <f t="shared" si="5"/>
        <v>13790.99584915243</v>
      </c>
      <c r="S42" s="125">
        <f t="shared" si="5"/>
        <v>15139.711749643828</v>
      </c>
      <c r="T42" s="125">
        <f t="shared" si="5"/>
        <v>16501.914809140137</v>
      </c>
      <c r="U42" s="125">
        <f t="shared" si="5"/>
        <v>17877.739899231408</v>
      </c>
      <c r="V42" s="125">
        <f t="shared" si="5"/>
        <v>19267.323240223595</v>
      </c>
      <c r="W42" s="125">
        <f t="shared" si="5"/>
        <v>20670.802414625701</v>
      </c>
      <c r="X42" s="125">
        <f t="shared" si="5"/>
        <v>22088.31638077183</v>
      </c>
      <c r="Y42" s="125">
        <f t="shared" si="5"/>
        <v>23520.005486579415</v>
      </c>
      <c r="Z42" s="125">
        <f t="shared" si="5"/>
        <v>24966.01148344508</v>
      </c>
      <c r="AA42" s="125">
        <f t="shared" si="5"/>
        <v>26426.4775402794</v>
      </c>
      <c r="AB42" s="125">
        <f t="shared" si="5"/>
        <v>27901.548257682065</v>
      </c>
      <c r="AC42" s="125">
        <f t="shared" si="5"/>
        <v>29391.369682258755</v>
      </c>
      <c r="AD42" s="125">
        <f t="shared" si="5"/>
        <v>30896.089321081214</v>
      </c>
    </row>
    <row r="43" spans="2:31" x14ac:dyDescent="0.3">
      <c r="B43" s="129"/>
      <c r="C43" s="129" t="s">
        <v>59</v>
      </c>
      <c r="D43" s="129"/>
      <c r="E43" s="118"/>
      <c r="F43" s="130">
        <v>0</v>
      </c>
      <c r="G43" s="153">
        <f>IF(G41=0,"-",(G41-F41)/G41)</f>
        <v>0.31717532185785041</v>
      </c>
      <c r="H43" s="153">
        <f>IF(H41=0,"-",(H41-G41)/H41)</f>
        <v>0.28997797456466945</v>
      </c>
      <c r="I43" s="148">
        <f t="shared" ref="I43:AD43" si="6">IF(I41=0,"-",(I41-H41)/I41)</f>
        <v>0.19959699366235023</v>
      </c>
      <c r="J43" s="148">
        <f t="shared" si="6"/>
        <v>0.30623434828287982</v>
      </c>
      <c r="K43" s="153">
        <f>IF(K41=0,"-",(K41-J41)/K41)</f>
        <v>9.4734095441216776E-2</v>
      </c>
      <c r="L43" s="148">
        <f t="shared" si="6"/>
        <v>9.8170980634332567E-3</v>
      </c>
      <c r="M43" s="148">
        <f t="shared" si="6"/>
        <v>9.8179217088707124E-3</v>
      </c>
      <c r="N43" s="148">
        <f t="shared" si="6"/>
        <v>9.8187373355752821E-3</v>
      </c>
      <c r="O43" s="148">
        <f>IF(O41=0,"-",(O41-N41)/O41)</f>
        <v>9.8195450202909693E-3</v>
      </c>
      <c r="P43" s="148">
        <f t="shared" si="6"/>
        <v>7.5818299922123439E-2</v>
      </c>
      <c r="Q43" s="148">
        <f t="shared" si="6"/>
        <v>-6.9515660925105111E-2</v>
      </c>
      <c r="R43" s="148">
        <f t="shared" si="6"/>
        <v>9.9009900990097762E-3</v>
      </c>
      <c r="S43" s="148">
        <f t="shared" si="6"/>
        <v>9.9009900990102949E-3</v>
      </c>
      <c r="T43" s="148">
        <f t="shared" si="6"/>
        <v>9.9009900990086174E-3</v>
      </c>
      <c r="U43" s="148">
        <f>IF(U41=0,"-",(U41-T41)/U41)</f>
        <v>9.9009900990106609E-3</v>
      </c>
      <c r="V43" s="148">
        <f t="shared" si="6"/>
        <v>9.9009900990110842E-3</v>
      </c>
      <c r="W43" s="148">
        <f t="shared" si="6"/>
        <v>9.9009900990080883E-3</v>
      </c>
      <c r="X43" s="148">
        <f t="shared" si="6"/>
        <v>9.9009900990097294E-3</v>
      </c>
      <c r="Y43" s="148">
        <f t="shared" si="6"/>
        <v>9.9009900990083763E-3</v>
      </c>
      <c r="Z43" s="148">
        <f t="shared" si="6"/>
        <v>9.9009900990110495E-3</v>
      </c>
      <c r="AA43" s="148">
        <f t="shared" si="6"/>
        <v>9.9009900990097537E-3</v>
      </c>
      <c r="AB43" s="148">
        <f>IF(AB41=0,"-",(AB41-AA41)/AB41)</f>
        <v>9.9009900990114277E-3</v>
      </c>
      <c r="AC43" s="148">
        <f t="shared" si="6"/>
        <v>9.9009900990079825E-3</v>
      </c>
      <c r="AD43" s="148">
        <f t="shared" si="6"/>
        <v>9.9009900990097485E-3</v>
      </c>
    </row>
    <row r="44" spans="2:31" x14ac:dyDescent="0.3"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</row>
    <row r="45" spans="2:31" x14ac:dyDescent="0.3">
      <c r="B45" s="129"/>
      <c r="C45" s="129" t="s">
        <v>60</v>
      </c>
      <c r="D45" s="129"/>
      <c r="E45" s="118"/>
      <c r="F45" s="152">
        <f t="shared" ref="F45:AD45" si="7">1/(1+$F$54)^F2</f>
        <v>1</v>
      </c>
      <c r="G45" s="152">
        <f t="shared" si="7"/>
        <v>1</v>
      </c>
      <c r="H45" s="152">
        <f t="shared" si="7"/>
        <v>1</v>
      </c>
      <c r="I45" s="152">
        <f t="shared" si="7"/>
        <v>1</v>
      </c>
      <c r="J45" s="152">
        <f t="shared" si="7"/>
        <v>1</v>
      </c>
      <c r="K45" s="152">
        <f t="shared" si="7"/>
        <v>1</v>
      </c>
      <c r="L45" s="152">
        <f t="shared" si="7"/>
        <v>1</v>
      </c>
      <c r="M45" s="152">
        <f t="shared" si="7"/>
        <v>1</v>
      </c>
      <c r="N45" s="152">
        <f t="shared" si="7"/>
        <v>0.42409761837248466</v>
      </c>
      <c r="O45" s="152">
        <f t="shared" si="7"/>
        <v>0.38554328942953148</v>
      </c>
      <c r="P45" s="152">
        <f t="shared" si="7"/>
        <v>0.3504938994813922</v>
      </c>
      <c r="Q45" s="152">
        <f t="shared" si="7"/>
        <v>0.31863081771035656</v>
      </c>
      <c r="R45" s="152">
        <f t="shared" si="7"/>
        <v>0.28966437973668779</v>
      </c>
      <c r="S45" s="152">
        <f t="shared" si="7"/>
        <v>0.26333125430607973</v>
      </c>
      <c r="T45" s="152">
        <f t="shared" si="7"/>
        <v>0.23939204936916339</v>
      </c>
      <c r="U45" s="152">
        <f t="shared" si="7"/>
        <v>0.21762913579014853</v>
      </c>
      <c r="V45" s="152">
        <f t="shared" si="7"/>
        <v>0.19784466890013502</v>
      </c>
      <c r="W45" s="152">
        <f t="shared" si="7"/>
        <v>0.17985878990921364</v>
      </c>
      <c r="X45" s="152">
        <f t="shared" si="7"/>
        <v>0.16350799082655781</v>
      </c>
      <c r="Y45" s="152">
        <f t="shared" si="7"/>
        <v>0.14864362802414349</v>
      </c>
      <c r="Z45" s="152">
        <f t="shared" si="7"/>
        <v>0.13513057093103953</v>
      </c>
      <c r="AA45" s="152">
        <f t="shared" si="7"/>
        <v>0.12284597357367227</v>
      </c>
      <c r="AB45" s="152">
        <f t="shared" si="7"/>
        <v>0.11167815779424752</v>
      </c>
      <c r="AC45" s="152">
        <f t="shared" si="7"/>
        <v>0.10152559799477048</v>
      </c>
      <c r="AD45" s="152">
        <f t="shared" si="7"/>
        <v>9.2295998177064048E-2</v>
      </c>
    </row>
    <row r="46" spans="2:31" outlineLevel="1" x14ac:dyDescent="0.3">
      <c r="B46" s="129"/>
      <c r="C46" s="129" t="s">
        <v>61</v>
      </c>
      <c r="D46" s="129"/>
      <c r="E46" s="118"/>
    </row>
    <row r="47" spans="2:31" x14ac:dyDescent="0.3">
      <c r="B47" s="129"/>
      <c r="C47" s="129" t="s">
        <v>62</v>
      </c>
      <c r="D47" s="129"/>
      <c r="E47" s="118" t="s">
        <v>203</v>
      </c>
      <c r="F47" s="125">
        <f t="shared" ref="F47:AD47" si="8">+F41*F45</f>
        <v>306.1684811301929</v>
      </c>
      <c r="G47" s="125">
        <f t="shared" si="8"/>
        <v>448.38520184013493</v>
      </c>
      <c r="H47" s="125">
        <f t="shared" si="8"/>
        <v>631.50886279227723</v>
      </c>
      <c r="I47" s="125">
        <f t="shared" si="8"/>
        <v>788.98861922299602</v>
      </c>
      <c r="J47" s="125">
        <f t="shared" si="8"/>
        <v>1137.2552349200225</v>
      </c>
      <c r="K47" s="125">
        <f t="shared" si="8"/>
        <v>1256.266505998929</v>
      </c>
      <c r="L47" s="125">
        <f t="shared" si="8"/>
        <v>1268.7216710589173</v>
      </c>
      <c r="M47" s="125">
        <f t="shared" si="8"/>
        <v>1281.3013877695057</v>
      </c>
      <c r="N47" s="125">
        <f t="shared" si="8"/>
        <v>548.78524514613605</v>
      </c>
      <c r="O47" s="125">
        <f t="shared" si="8"/>
        <v>503.84318827602146</v>
      </c>
      <c r="P47" s="125">
        <f t="shared" si="8"/>
        <v>495.61602662172766</v>
      </c>
      <c r="Q47" s="125">
        <f t="shared" si="8"/>
        <v>421.27482622540293</v>
      </c>
      <c r="R47" s="125">
        <f t="shared" si="8"/>
        <v>386.8068858978699</v>
      </c>
      <c r="S47" s="125">
        <f t="shared" si="8"/>
        <v>355.15904977895332</v>
      </c>
      <c r="T47" s="125">
        <f t="shared" si="8"/>
        <v>326.10058206976578</v>
      </c>
      <c r="U47" s="125">
        <f t="shared" si="8"/>
        <v>299.41962535496702</v>
      </c>
      <c r="V47" s="125">
        <f t="shared" si="8"/>
        <v>274.92165600774274</v>
      </c>
      <c r="W47" s="125">
        <f t="shared" si="8"/>
        <v>252.42806597074514</v>
      </c>
      <c r="X47" s="125">
        <f t="shared" si="8"/>
        <v>231.77486057313862</v>
      </c>
      <c r="Y47" s="125">
        <f t="shared" si="8"/>
        <v>212.81146288988154</v>
      </c>
      <c r="Z47" s="125">
        <f t="shared" si="8"/>
        <v>195.39961592616416</v>
      </c>
      <c r="AA47" s="125">
        <f t="shared" si="8"/>
        <v>179.41237462311429</v>
      </c>
      <c r="AB47" s="125">
        <f t="shared" si="8"/>
        <v>164.73318033576882</v>
      </c>
      <c r="AC47" s="125">
        <f t="shared" si="8"/>
        <v>151.25501103556928</v>
      </c>
      <c r="AD47" s="125">
        <f t="shared" si="8"/>
        <v>138.87960104174994</v>
      </c>
    </row>
    <row r="48" spans="2:31" x14ac:dyDescent="0.3">
      <c r="B48" s="129"/>
      <c r="C48" s="129" t="s">
        <v>63</v>
      </c>
      <c r="D48" s="129"/>
      <c r="E48" s="118" t="s">
        <v>203</v>
      </c>
      <c r="F48" s="125">
        <f>+F47</f>
        <v>306.1684811301929</v>
      </c>
      <c r="G48" s="125">
        <f>+F48+G47</f>
        <v>754.55368297032783</v>
      </c>
      <c r="H48" s="125">
        <f t="shared" ref="H48:AD48" si="9">+G48+H47</f>
        <v>1386.0625457626052</v>
      </c>
      <c r="I48" s="125">
        <f t="shared" si="9"/>
        <v>2175.0511649856012</v>
      </c>
      <c r="J48" s="125">
        <f t="shared" si="9"/>
        <v>3312.3063999056239</v>
      </c>
      <c r="K48" s="125">
        <f t="shared" si="9"/>
        <v>4568.5729059045534</v>
      </c>
      <c r="L48" s="125">
        <f t="shared" si="9"/>
        <v>5837.2945769634707</v>
      </c>
      <c r="M48" s="125">
        <f t="shared" si="9"/>
        <v>7118.5959647329764</v>
      </c>
      <c r="N48" s="125">
        <f t="shared" si="9"/>
        <v>7667.3812098791122</v>
      </c>
      <c r="O48" s="125">
        <f>+N48+O47</f>
        <v>8171.2243981551337</v>
      </c>
      <c r="P48" s="125">
        <f t="shared" si="9"/>
        <v>8666.8404247768613</v>
      </c>
      <c r="Q48" s="125">
        <f t="shared" si="9"/>
        <v>9088.1152510022639</v>
      </c>
      <c r="R48" s="125">
        <f t="shared" si="9"/>
        <v>9474.9221369001334</v>
      </c>
      <c r="S48" s="125">
        <f t="shared" si="9"/>
        <v>9830.0811866790864</v>
      </c>
      <c r="T48" s="125">
        <f t="shared" si="9"/>
        <v>10156.181768748853</v>
      </c>
      <c r="U48" s="125">
        <f t="shared" si="9"/>
        <v>10455.60139410382</v>
      </c>
      <c r="V48" s="125">
        <f t="shared" si="9"/>
        <v>10730.523050111562</v>
      </c>
      <c r="W48" s="125">
        <f t="shared" si="9"/>
        <v>10982.951116082308</v>
      </c>
      <c r="X48" s="125">
        <f t="shared" si="9"/>
        <v>11214.725976655447</v>
      </c>
      <c r="Y48" s="125">
        <f t="shared" si="9"/>
        <v>11427.537439545329</v>
      </c>
      <c r="Z48" s="125">
        <f t="shared" si="9"/>
        <v>11622.937055471493</v>
      </c>
      <c r="AA48" s="125">
        <f t="shared" si="9"/>
        <v>11802.349430094608</v>
      </c>
      <c r="AB48" s="125">
        <f t="shared" si="9"/>
        <v>11967.082610430376</v>
      </c>
      <c r="AC48" s="125">
        <f t="shared" si="9"/>
        <v>12118.337621465946</v>
      </c>
      <c r="AD48" s="125">
        <f t="shared" si="9"/>
        <v>12257.217222507696</v>
      </c>
    </row>
    <row r="49" spans="4:19" x14ac:dyDescent="0.3">
      <c r="F49" s="149"/>
      <c r="G49" s="149"/>
      <c r="H49" s="149"/>
      <c r="I49" s="149"/>
      <c r="J49" s="149"/>
    </row>
    <row r="50" spans="4:19" x14ac:dyDescent="0.3">
      <c r="F50" s="125"/>
      <c r="G50" s="125"/>
      <c r="H50" s="125"/>
      <c r="I50" s="125"/>
      <c r="J50" s="125"/>
    </row>
    <row r="51" spans="4:19" x14ac:dyDescent="0.3">
      <c r="F51" s="150"/>
      <c r="G51" s="150"/>
      <c r="H51" s="150"/>
      <c r="I51" s="150"/>
      <c r="J51" s="150"/>
    </row>
    <row r="52" spans="4:19" x14ac:dyDescent="0.3">
      <c r="E52" s="151"/>
      <c r="F52" s="151"/>
      <c r="G52" s="151"/>
      <c r="H52" s="151"/>
      <c r="I52" s="151"/>
      <c r="J52" s="151"/>
    </row>
    <row r="53" spans="4:19" ht="14.4" x14ac:dyDescent="0.3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4:19" ht="33" customHeight="1" x14ac:dyDescent="0.3">
      <c r="E54" s="143" t="s">
        <v>64</v>
      </c>
      <c r="F54" s="131">
        <f>+'SITE Model - INPUT PARAMETERS'!C30</f>
        <v>0.1</v>
      </c>
      <c r="G54" s="132"/>
      <c r="H54" s="133"/>
      <c r="I54"/>
      <c r="J54"/>
      <c r="K54"/>
      <c r="L54"/>
      <c r="M54"/>
      <c r="N54"/>
      <c r="O54"/>
      <c r="P54"/>
      <c r="Q54"/>
      <c r="R54"/>
      <c r="S54"/>
    </row>
    <row r="55" spans="4:19" ht="41.4" x14ac:dyDescent="0.3">
      <c r="E55" s="144" t="s">
        <v>65</v>
      </c>
      <c r="F55" s="224" t="s">
        <v>66</v>
      </c>
      <c r="G55" s="224" t="s">
        <v>67</v>
      </c>
      <c r="H55" s="224" t="s">
        <v>68</v>
      </c>
      <c r="I55"/>
      <c r="J55"/>
      <c r="K55"/>
      <c r="L55"/>
      <c r="M55"/>
      <c r="N55"/>
      <c r="O55"/>
      <c r="P55"/>
      <c r="Q55"/>
      <c r="R55"/>
      <c r="S55"/>
    </row>
    <row r="56" spans="4:19" ht="14.4" x14ac:dyDescent="0.3">
      <c r="E56" s="501">
        <v>0</v>
      </c>
      <c r="F56" s="503">
        <f>F22</f>
        <v>-430</v>
      </c>
      <c r="G56" s="504">
        <f>+F56/(1+$F$54)^E56</f>
        <v>-430</v>
      </c>
      <c r="H56" s="504">
        <f>+G56</f>
        <v>-430</v>
      </c>
      <c r="I56"/>
      <c r="J56"/>
      <c r="K56"/>
      <c r="L56"/>
      <c r="M56"/>
      <c r="N56"/>
      <c r="O56"/>
      <c r="P56"/>
      <c r="Q56"/>
      <c r="R56"/>
      <c r="S56"/>
    </row>
    <row r="57" spans="4:19" ht="14.4" x14ac:dyDescent="0.3">
      <c r="E57" s="501">
        <v>1</v>
      </c>
      <c r="F57" s="503">
        <f>+F41</f>
        <v>306.1684811301929</v>
      </c>
      <c r="G57" s="505">
        <f>+F57/(1+$F$54)^E57</f>
        <v>278.3349828456299</v>
      </c>
      <c r="H57" s="505">
        <f>+H56+G57</f>
        <v>-151.6650171543701</v>
      </c>
      <c r="I57"/>
      <c r="J57"/>
      <c r="K57"/>
      <c r="L57"/>
      <c r="M57"/>
      <c r="N57"/>
      <c r="O57"/>
      <c r="P57"/>
      <c r="Q57"/>
      <c r="R57"/>
      <c r="S57"/>
    </row>
    <row r="58" spans="4:19" ht="14.4" x14ac:dyDescent="0.3">
      <c r="E58" s="501">
        <v>2</v>
      </c>
      <c r="F58" s="503">
        <f>+G41</f>
        <v>448.38520184013493</v>
      </c>
      <c r="G58" s="505">
        <f t="shared" ref="G58:G66" si="10">+F58/(1+$F$54)^E58</f>
        <v>370.56628251250817</v>
      </c>
      <c r="H58" s="505">
        <f>+H57+G58</f>
        <v>218.90126535813806</v>
      </c>
      <c r="I58"/>
      <c r="J58"/>
      <c r="K58"/>
      <c r="L58"/>
      <c r="M58"/>
      <c r="N58"/>
      <c r="O58"/>
      <c r="P58"/>
      <c r="Q58"/>
      <c r="R58"/>
      <c r="S58"/>
    </row>
    <row r="59" spans="4:19" ht="14.4" x14ac:dyDescent="0.3">
      <c r="E59" s="501">
        <v>3</v>
      </c>
      <c r="F59" s="503">
        <f>+H41</f>
        <v>631.50886279227723</v>
      </c>
      <c r="G59" s="505">
        <f t="shared" si="10"/>
        <v>474.4619555163614</v>
      </c>
      <c r="H59" s="505">
        <f>+H58+G59</f>
        <v>693.36322087449946</v>
      </c>
      <c r="I59"/>
      <c r="J59"/>
      <c r="K59"/>
      <c r="L59"/>
      <c r="M59"/>
      <c r="N59"/>
      <c r="O59"/>
      <c r="P59"/>
      <c r="Q59"/>
      <c r="R59"/>
      <c r="S59"/>
    </row>
    <row r="60" spans="4:19" ht="14.4" x14ac:dyDescent="0.3">
      <c r="E60" s="501">
        <v>4</v>
      </c>
      <c r="F60" s="503">
        <f>+I41</f>
        <v>788.98861922299602</v>
      </c>
      <c r="G60" s="505">
        <f>+F60/(1+$F$54)^E60</f>
        <v>538.8898430592144</v>
      </c>
      <c r="H60" s="505">
        <f t="shared" ref="H60:H66" si="11">+H59+G60</f>
        <v>1232.2530639337137</v>
      </c>
      <c r="I60"/>
      <c r="J60"/>
      <c r="K60"/>
      <c r="L60"/>
      <c r="M60"/>
      <c r="N60"/>
      <c r="O60"/>
      <c r="P60"/>
      <c r="Q60"/>
      <c r="R60"/>
      <c r="S60"/>
    </row>
    <row r="61" spans="4:19" ht="14.4" x14ac:dyDescent="0.3">
      <c r="E61" s="501">
        <v>5</v>
      </c>
      <c r="F61" s="503">
        <f>+J41</f>
        <v>1137.2552349200225</v>
      </c>
      <c r="G61" s="505">
        <f t="shared" si="10"/>
        <v>706.14602512249053</v>
      </c>
      <c r="H61" s="505">
        <f t="shared" si="11"/>
        <v>1938.3990890562043</v>
      </c>
      <c r="I61"/>
      <c r="J61"/>
      <c r="K61"/>
      <c r="L61"/>
      <c r="M61"/>
      <c r="N61"/>
      <c r="O61"/>
      <c r="P61"/>
      <c r="Q61"/>
      <c r="R61"/>
      <c r="S61"/>
    </row>
    <row r="62" spans="4:19" ht="14.4" x14ac:dyDescent="0.3">
      <c r="E62" s="501">
        <v>6</v>
      </c>
      <c r="F62" s="503">
        <f>+K41</f>
        <v>1256.266505998929</v>
      </c>
      <c r="G62" s="505">
        <f>+F62/(1+$F$54)^E62</f>
        <v>709.12969183614246</v>
      </c>
      <c r="H62" s="505">
        <f t="shared" si="11"/>
        <v>2647.5287808923467</v>
      </c>
      <c r="I62"/>
      <c r="J62"/>
      <c r="K62"/>
      <c r="L62"/>
      <c r="M62"/>
      <c r="N62"/>
      <c r="O62"/>
      <c r="P62"/>
      <c r="Q62"/>
      <c r="R62"/>
      <c r="S62"/>
    </row>
    <row r="63" spans="4:19" ht="14.4" x14ac:dyDescent="0.3">
      <c r="E63" s="501">
        <v>7</v>
      </c>
      <c r="F63" s="503">
        <f>+L41</f>
        <v>1268.7216710589173</v>
      </c>
      <c r="G63" s="505">
        <f t="shared" si="10"/>
        <v>651.05482527911136</v>
      </c>
      <c r="H63" s="505">
        <f t="shared" si="11"/>
        <v>3298.5836061714581</v>
      </c>
      <c r="I63"/>
      <c r="J63"/>
      <c r="K63"/>
      <c r="L63"/>
      <c r="M63"/>
      <c r="N63"/>
      <c r="O63"/>
      <c r="P63"/>
      <c r="Q63"/>
      <c r="R63"/>
      <c r="S63"/>
    </row>
    <row r="64" spans="4:19" ht="14.4" x14ac:dyDescent="0.3">
      <c r="E64" s="501">
        <v>8</v>
      </c>
      <c r="F64" s="503">
        <f>+M41</f>
        <v>1281.3013877695057</v>
      </c>
      <c r="G64" s="505">
        <f t="shared" si="10"/>
        <v>597.73655366744754</v>
      </c>
      <c r="H64" s="505">
        <f t="shared" si="11"/>
        <v>3896.3201598389055</v>
      </c>
      <c r="I64"/>
      <c r="J64"/>
      <c r="K64"/>
      <c r="L64"/>
      <c r="M64"/>
      <c r="N64"/>
      <c r="O64"/>
      <c r="P64"/>
      <c r="Q64"/>
      <c r="R64"/>
      <c r="S64"/>
    </row>
    <row r="65" spans="5:19" ht="14.4" x14ac:dyDescent="0.3">
      <c r="E65" s="501">
        <v>9</v>
      </c>
      <c r="F65" s="503">
        <f>+N41</f>
        <v>1294.0069016472012</v>
      </c>
      <c r="G65" s="505">
        <f t="shared" si="10"/>
        <v>548.78524514613605</v>
      </c>
      <c r="H65" s="505">
        <f t="shared" si="11"/>
        <v>4445.1054049850418</v>
      </c>
      <c r="I65"/>
      <c r="J65"/>
      <c r="K65"/>
      <c r="L65"/>
      <c r="M65"/>
      <c r="N65"/>
      <c r="O65"/>
      <c r="P65"/>
      <c r="Q65"/>
      <c r="R65"/>
      <c r="S65"/>
    </row>
    <row r="66" spans="5:19" ht="14.4" x14ac:dyDescent="0.3">
      <c r="E66" s="502">
        <v>10</v>
      </c>
      <c r="F66" s="506">
        <f>+O41</f>
        <v>1306.8394706636764</v>
      </c>
      <c r="G66" s="507">
        <f t="shared" si="10"/>
        <v>503.84318827602146</v>
      </c>
      <c r="H66" s="507">
        <f t="shared" si="11"/>
        <v>4948.9485932610633</v>
      </c>
      <c r="I66"/>
      <c r="J66"/>
      <c r="K66"/>
      <c r="L66"/>
      <c r="M66"/>
      <c r="N66"/>
      <c r="O66"/>
      <c r="P66"/>
      <c r="Q66"/>
      <c r="R66"/>
      <c r="S66"/>
    </row>
    <row r="67" spans="5:19" ht="14.4" x14ac:dyDescent="0.3">
      <c r="E67" s="134"/>
      <c r="F67" s="135"/>
      <c r="G67" s="135"/>
      <c r="H67" s="136"/>
    </row>
    <row r="68" spans="5:19" ht="14.4" x14ac:dyDescent="0.3">
      <c r="E68" s="134" t="s">
        <v>69</v>
      </c>
      <c r="F68" s="137">
        <f>IRR(F56:F66)</f>
        <v>1.0643159245552938</v>
      </c>
      <c r="G68" s="135"/>
      <c r="H68" s="136"/>
    </row>
    <row r="69" spans="5:19" ht="39" customHeight="1" x14ac:dyDescent="0.3">
      <c r="E69" s="146" t="s">
        <v>70</v>
      </c>
      <c r="F69" s="508">
        <f>NPV(F54,F57:F66)</f>
        <v>5378.9485932610623</v>
      </c>
      <c r="G69" s="147" t="s">
        <v>71</v>
      </c>
      <c r="H69" s="145">
        <f>+F54</f>
        <v>0.1</v>
      </c>
    </row>
    <row r="70" spans="5:19" ht="15.6" x14ac:dyDescent="0.3">
      <c r="E70" s="139" t="s">
        <v>72</v>
      </c>
      <c r="F70" s="138">
        <f>+F56</f>
        <v>-430</v>
      </c>
      <c r="G70" s="135" t="s">
        <v>73</v>
      </c>
      <c r="H70" s="136"/>
    </row>
    <row r="71" spans="5:19" ht="14.4" x14ac:dyDescent="0.3">
      <c r="E71" s="134" t="s">
        <v>74</v>
      </c>
      <c r="F71" s="138">
        <f>+F69+F70</f>
        <v>4948.9485932610623</v>
      </c>
      <c r="G71" s="135"/>
      <c r="H71" s="136"/>
    </row>
    <row r="72" spans="5:19" ht="14.4" x14ac:dyDescent="0.3">
      <c r="E72" s="140" t="s">
        <v>75</v>
      </c>
      <c r="F72" s="195">
        <f>+(F69/-F70)</f>
        <v>12.509182775025726</v>
      </c>
      <c r="G72" s="141" t="s">
        <v>76</v>
      </c>
      <c r="H72" s="142"/>
    </row>
  </sheetData>
  <mergeCells count="1">
    <mergeCell ref="F1:M2"/>
  </mergeCells>
  <hyperlinks>
    <hyperlink ref="E69" r:id="rId1" display="NPVin@12%" xr:uid="{00000000-0004-0000-0100-000000000000}"/>
    <hyperlink ref="E70" r:id="rId2" display="NPVin@12%" xr:uid="{00000000-0004-0000-0100-000001000000}"/>
    <hyperlink ref="G69" r:id="rId3" xr:uid="{00000000-0004-0000-0100-000002000000}"/>
  </hyperlinks>
  <pageMargins left="0.75" right="0.75" top="1" bottom="1" header="0.5" footer="0.5"/>
  <pageSetup paperSize="9" orientation="portrait" r:id="rId4"/>
  <headerFooter alignWithMargins="0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C51"/>
  <sheetViews>
    <sheetView showGridLines="0" zoomScale="77" zoomScaleNormal="77" workbookViewId="0">
      <selection activeCell="C35" sqref="C35"/>
    </sheetView>
  </sheetViews>
  <sheetFormatPr defaultColWidth="10.77734375" defaultRowHeight="14.4" x14ac:dyDescent="0.3"/>
  <cols>
    <col min="1" max="1" width="4.77734375" customWidth="1"/>
    <col min="2" max="2" width="64.21875" style="95" customWidth="1"/>
    <col min="3" max="3" width="11.44140625" style="94" customWidth="1"/>
    <col min="4" max="4" width="15" customWidth="1"/>
    <col min="5" max="5" width="4.77734375" style="86" bestFit="1" customWidth="1"/>
    <col min="6" max="6" width="47.21875" customWidth="1"/>
    <col min="7" max="7" width="17.21875" customWidth="1"/>
    <col min="8" max="8" width="16.77734375" customWidth="1"/>
    <col min="9" max="9" width="6.21875" style="86" customWidth="1"/>
    <col min="10" max="10" width="51.77734375" bestFit="1" customWidth="1"/>
    <col min="11" max="11" width="17" bestFit="1" customWidth="1"/>
    <col min="12" max="12" width="16.77734375" bestFit="1" customWidth="1"/>
    <col min="13" max="13" width="4.77734375" customWidth="1"/>
    <col min="14" max="14" width="58" customWidth="1"/>
    <col min="15" max="15" width="17.21875" bestFit="1" customWidth="1"/>
    <col min="16" max="16" width="22" bestFit="1" customWidth="1"/>
    <col min="17" max="17" width="6.5546875" style="95" customWidth="1"/>
    <col min="18" max="18" width="47.21875" customWidth="1"/>
    <col min="19" max="19" width="20.44140625" customWidth="1"/>
    <col min="20" max="20" width="13" bestFit="1" customWidth="1"/>
    <col min="21" max="21" width="13.44140625" customWidth="1"/>
    <col min="22" max="22" width="35.21875" customWidth="1"/>
    <col min="23" max="23" width="35.5546875" customWidth="1"/>
    <col min="24" max="24" width="13.21875" customWidth="1"/>
    <col min="25" max="25" width="13" customWidth="1"/>
    <col min="26" max="26" width="19.77734375" customWidth="1"/>
    <col min="27" max="27" width="37.21875" customWidth="1"/>
    <col min="29" max="29" width="23.21875" customWidth="1"/>
    <col min="30" max="30" width="18.5546875" customWidth="1"/>
    <col min="31" max="31" width="19.77734375" customWidth="1"/>
    <col min="32" max="32" width="22.77734375" customWidth="1"/>
    <col min="33" max="33" width="17.21875" customWidth="1"/>
    <col min="35" max="35" width="31.77734375" customWidth="1"/>
    <col min="37" max="37" width="15.77734375" customWidth="1"/>
    <col min="38" max="38" width="21.77734375" customWidth="1"/>
    <col min="39" max="39" width="16.77734375" customWidth="1"/>
  </cols>
  <sheetData>
    <row r="1" spans="1:16383" ht="21.75" customHeight="1" thickBot="1" x14ac:dyDescent="0.35">
      <c r="A1" s="529"/>
      <c r="B1" s="529"/>
      <c r="C1" s="529"/>
      <c r="D1" s="529"/>
      <c r="E1" s="529"/>
      <c r="F1" s="529"/>
      <c r="G1" s="529"/>
      <c r="H1" s="530"/>
      <c r="I1" s="529"/>
      <c r="J1" s="529"/>
      <c r="K1" s="529"/>
      <c r="L1" s="529"/>
      <c r="M1" s="529"/>
      <c r="N1" s="529"/>
      <c r="O1" s="529"/>
      <c r="P1" s="530"/>
      <c r="Q1" s="529"/>
      <c r="R1" s="529"/>
      <c r="S1" s="529"/>
      <c r="T1" s="529"/>
      <c r="U1" s="529"/>
      <c r="V1" s="529"/>
      <c r="W1" s="530"/>
      <c r="X1" s="529"/>
      <c r="Y1" s="529"/>
      <c r="Z1" s="529"/>
      <c r="AA1" s="529"/>
      <c r="AB1" s="529"/>
      <c r="AC1" s="529"/>
      <c r="AD1" s="529"/>
      <c r="AE1" s="530"/>
      <c r="AF1" s="529"/>
      <c r="AG1" s="529"/>
      <c r="AH1" s="529"/>
      <c r="AI1" s="529"/>
      <c r="AJ1" s="529"/>
      <c r="AK1" s="529"/>
      <c r="AL1" s="529"/>
      <c r="AM1" s="530"/>
      <c r="AN1" s="529"/>
      <c r="AO1" s="529"/>
      <c r="AP1" s="529"/>
      <c r="AQ1" s="529"/>
      <c r="AR1" s="529"/>
      <c r="AS1" s="529"/>
      <c r="AT1" s="529"/>
      <c r="AU1" s="530"/>
      <c r="AV1" s="529"/>
      <c r="AW1" s="529"/>
      <c r="AX1" s="529"/>
      <c r="AY1" s="529"/>
      <c r="AZ1" s="529"/>
      <c r="BA1" s="529"/>
      <c r="BB1" s="529"/>
      <c r="BC1" s="530"/>
      <c r="BD1" s="529"/>
      <c r="BE1" s="529"/>
      <c r="BF1" s="529"/>
      <c r="BG1" s="529"/>
      <c r="BH1" s="529"/>
      <c r="BI1" s="529"/>
      <c r="BJ1" s="529"/>
      <c r="BK1" s="530"/>
      <c r="BL1" s="529"/>
      <c r="BM1" s="529"/>
      <c r="BN1" s="529"/>
      <c r="BO1" s="529"/>
      <c r="BP1" s="529"/>
      <c r="BQ1" s="529"/>
      <c r="BR1" s="529"/>
      <c r="BS1" s="530"/>
      <c r="BT1" s="529"/>
      <c r="BU1" s="529"/>
      <c r="BV1" s="529"/>
      <c r="BW1" s="529"/>
      <c r="BX1" s="529"/>
      <c r="BY1" s="529"/>
      <c r="BZ1" s="529"/>
      <c r="CA1" s="530"/>
      <c r="CB1" s="529"/>
      <c r="CC1" s="529"/>
      <c r="CD1" s="529"/>
      <c r="CE1" s="529"/>
      <c r="CF1" s="529"/>
      <c r="CG1" s="529"/>
      <c r="CH1" s="529"/>
      <c r="CI1" s="530"/>
      <c r="CJ1" s="529"/>
      <c r="CK1" s="529"/>
      <c r="CL1" s="529"/>
      <c r="CM1" s="529"/>
      <c r="CN1" s="529"/>
      <c r="CO1" s="529"/>
      <c r="CP1" s="529"/>
      <c r="CQ1" s="530"/>
      <c r="CR1" s="529"/>
      <c r="CS1" s="529"/>
      <c r="CT1" s="529"/>
      <c r="CU1" s="529"/>
      <c r="CV1" s="529"/>
      <c r="CW1" s="529"/>
      <c r="CX1" s="529"/>
      <c r="CY1" s="530"/>
      <c r="CZ1" s="529"/>
      <c r="DA1" s="529"/>
      <c r="DB1" s="529"/>
      <c r="DC1" s="529"/>
      <c r="DD1" s="529"/>
      <c r="DE1" s="529"/>
      <c r="DF1" s="529"/>
      <c r="DG1" s="530"/>
      <c r="DH1" s="529"/>
      <c r="DI1" s="529"/>
      <c r="DJ1" s="529"/>
      <c r="DK1" s="529"/>
      <c r="DL1" s="529"/>
      <c r="DM1" s="529"/>
      <c r="DN1" s="529"/>
      <c r="DO1" s="530"/>
      <c r="DP1" s="529"/>
      <c r="DQ1" s="529"/>
      <c r="DR1" s="529"/>
      <c r="DS1" s="529"/>
      <c r="DT1" s="529"/>
      <c r="DU1" s="529"/>
      <c r="DV1" s="529"/>
      <c r="DW1" s="530"/>
      <c r="DX1" s="529"/>
      <c r="DY1" s="529"/>
      <c r="DZ1" s="529"/>
      <c r="EA1" s="529"/>
      <c r="EB1" s="529"/>
      <c r="EC1" s="529"/>
      <c r="ED1" s="529"/>
      <c r="EE1" s="530"/>
      <c r="EF1" s="529"/>
      <c r="EG1" s="529"/>
      <c r="EH1" s="529"/>
      <c r="EI1" s="529"/>
      <c r="EJ1" s="529"/>
      <c r="EK1" s="529"/>
      <c r="EL1" s="529"/>
      <c r="EM1" s="530"/>
      <c r="EN1" s="529"/>
      <c r="EO1" s="529"/>
      <c r="EP1" s="529"/>
      <c r="EQ1" s="529"/>
      <c r="ER1" s="529"/>
      <c r="ES1" s="529"/>
      <c r="ET1" s="529"/>
      <c r="EU1" s="530"/>
      <c r="EV1" s="529"/>
      <c r="EW1" s="529"/>
      <c r="EX1" s="529"/>
      <c r="EY1" s="529"/>
      <c r="EZ1" s="529"/>
      <c r="FA1" s="529"/>
      <c r="FB1" s="529"/>
      <c r="FC1" s="530"/>
      <c r="FD1" s="529"/>
      <c r="FE1" s="529"/>
      <c r="FF1" s="529"/>
      <c r="FG1" s="529"/>
      <c r="FH1" s="529"/>
      <c r="FI1" s="529"/>
      <c r="FJ1" s="529"/>
      <c r="FK1" s="530"/>
      <c r="FL1" s="529"/>
      <c r="FM1" s="529"/>
      <c r="FN1" s="529"/>
      <c r="FO1" s="529"/>
      <c r="FP1" s="529"/>
      <c r="FQ1" s="529"/>
      <c r="FR1" s="529"/>
      <c r="FS1" s="530"/>
      <c r="FT1" s="529"/>
      <c r="FU1" s="529"/>
      <c r="FV1" s="529"/>
      <c r="FW1" s="529"/>
      <c r="FX1" s="529"/>
      <c r="FY1" s="529"/>
      <c r="FZ1" s="529"/>
      <c r="GA1" s="530"/>
      <c r="GB1" s="529"/>
      <c r="GC1" s="529"/>
      <c r="GD1" s="529"/>
      <c r="GE1" s="529"/>
      <c r="GF1" s="529"/>
      <c r="GG1" s="529"/>
      <c r="GH1" s="529"/>
      <c r="GI1" s="530"/>
      <c r="GJ1" s="529"/>
      <c r="GK1" s="529"/>
      <c r="GL1" s="529"/>
      <c r="GM1" s="529"/>
      <c r="GN1" s="529"/>
      <c r="GO1" s="529"/>
      <c r="GP1" s="529"/>
      <c r="GQ1" s="530"/>
      <c r="GR1" s="529"/>
      <c r="GS1" s="529"/>
      <c r="GT1" s="529"/>
      <c r="GU1" s="529"/>
      <c r="GV1" s="529"/>
      <c r="GW1" s="529"/>
      <c r="GX1" s="529"/>
      <c r="GY1" s="530"/>
      <c r="GZ1" s="529"/>
      <c r="HA1" s="529"/>
      <c r="HB1" s="529"/>
      <c r="HC1" s="529"/>
      <c r="HD1" s="529"/>
      <c r="HE1" s="529"/>
      <c r="HF1" s="529"/>
      <c r="HG1" s="530"/>
      <c r="HH1" s="529"/>
      <c r="HI1" s="529"/>
      <c r="HJ1" s="529"/>
      <c r="HK1" s="529"/>
      <c r="HL1" s="529"/>
      <c r="HM1" s="529"/>
      <c r="HN1" s="529"/>
      <c r="HO1" s="530"/>
      <c r="HP1" s="529"/>
      <c r="HQ1" s="529"/>
      <c r="HR1" s="529"/>
      <c r="HS1" s="529"/>
      <c r="HT1" s="529"/>
      <c r="HU1" s="529"/>
      <c r="HV1" s="529"/>
      <c r="HW1" s="530"/>
      <c r="HX1" s="529"/>
      <c r="HY1" s="529"/>
      <c r="HZ1" s="529"/>
      <c r="IA1" s="529"/>
      <c r="IB1" s="529"/>
      <c r="IC1" s="529"/>
      <c r="ID1" s="529"/>
      <c r="IE1" s="530"/>
      <c r="IF1" s="529"/>
      <c r="IG1" s="529"/>
      <c r="IH1" s="529"/>
      <c r="II1" s="529"/>
      <c r="IJ1" s="529"/>
      <c r="IK1" s="529"/>
      <c r="IL1" s="529"/>
      <c r="IM1" s="530"/>
      <c r="IN1" s="529"/>
      <c r="IO1" s="529"/>
      <c r="IP1" s="529"/>
      <c r="IQ1" s="529"/>
      <c r="IR1" s="529"/>
      <c r="IS1" s="529"/>
      <c r="IT1" s="529"/>
      <c r="IU1" s="530"/>
      <c r="IV1" s="529"/>
      <c r="IW1" s="529"/>
      <c r="IX1" s="529"/>
      <c r="IY1" s="529"/>
      <c r="IZ1" s="529"/>
      <c r="JA1" s="529"/>
      <c r="JB1" s="529"/>
      <c r="JC1" s="530"/>
      <c r="JD1" s="529"/>
      <c r="JE1" s="529"/>
      <c r="JF1" s="529"/>
      <c r="JG1" s="529"/>
      <c r="JH1" s="529"/>
      <c r="JI1" s="529"/>
      <c r="JJ1" s="529"/>
      <c r="JK1" s="530"/>
      <c r="JL1" s="529"/>
      <c r="JM1" s="529"/>
      <c r="JN1" s="529"/>
      <c r="JO1" s="529"/>
      <c r="JP1" s="529"/>
      <c r="JQ1" s="529"/>
      <c r="JR1" s="529"/>
      <c r="JS1" s="530"/>
      <c r="JT1" s="529"/>
      <c r="JU1" s="529"/>
      <c r="JV1" s="529"/>
      <c r="JW1" s="529"/>
      <c r="JX1" s="529"/>
      <c r="JY1" s="529"/>
      <c r="JZ1" s="529"/>
      <c r="KA1" s="530"/>
      <c r="KB1" s="529"/>
      <c r="KC1" s="529"/>
      <c r="KD1" s="529"/>
      <c r="KE1" s="529"/>
      <c r="KF1" s="529"/>
      <c r="KG1" s="529"/>
      <c r="KH1" s="529"/>
      <c r="KI1" s="530"/>
      <c r="KJ1" s="529"/>
      <c r="KK1" s="529"/>
      <c r="KL1" s="529"/>
      <c r="KM1" s="529"/>
      <c r="KN1" s="529"/>
      <c r="KO1" s="529"/>
      <c r="KP1" s="529"/>
      <c r="KQ1" s="530"/>
      <c r="KR1" s="529"/>
      <c r="KS1" s="529"/>
      <c r="KT1" s="529"/>
      <c r="KU1" s="529"/>
      <c r="KV1" s="529"/>
      <c r="KW1" s="529"/>
      <c r="KX1" s="529"/>
      <c r="KY1" s="530"/>
      <c r="KZ1" s="529"/>
      <c r="LA1" s="529"/>
      <c r="LB1" s="529"/>
      <c r="LC1" s="529"/>
      <c r="LD1" s="529"/>
      <c r="LE1" s="529"/>
      <c r="LF1" s="529"/>
      <c r="LG1" s="530"/>
      <c r="LH1" s="529"/>
      <c r="LI1" s="529"/>
      <c r="LJ1" s="529"/>
      <c r="LK1" s="529"/>
      <c r="LL1" s="529"/>
      <c r="LM1" s="529"/>
      <c r="LN1" s="529"/>
      <c r="LO1" s="530"/>
      <c r="LP1" s="529"/>
      <c r="LQ1" s="529"/>
      <c r="LR1" s="529"/>
      <c r="LS1" s="529"/>
      <c r="LT1" s="529"/>
      <c r="LU1" s="529"/>
      <c r="LV1" s="529"/>
      <c r="LW1" s="530"/>
      <c r="LX1" s="529"/>
      <c r="LY1" s="529"/>
      <c r="LZ1" s="529"/>
      <c r="MA1" s="529"/>
      <c r="MB1" s="529"/>
      <c r="MC1" s="529"/>
      <c r="MD1" s="529"/>
      <c r="ME1" s="530"/>
      <c r="MF1" s="529"/>
      <c r="MG1" s="529"/>
      <c r="MH1" s="529"/>
      <c r="MI1" s="529"/>
      <c r="MJ1" s="529"/>
      <c r="MK1" s="529"/>
      <c r="ML1" s="529"/>
      <c r="MM1" s="530"/>
      <c r="MN1" s="529"/>
      <c r="MO1" s="529"/>
      <c r="MP1" s="529"/>
      <c r="MQ1" s="529"/>
      <c r="MR1" s="529"/>
      <c r="MS1" s="529"/>
      <c r="MT1" s="529"/>
      <c r="MU1" s="530"/>
      <c r="MV1" s="529"/>
      <c r="MW1" s="529"/>
      <c r="MX1" s="529"/>
      <c r="MY1" s="529"/>
      <c r="MZ1" s="529"/>
      <c r="NA1" s="529"/>
      <c r="NB1" s="529"/>
      <c r="NC1" s="530"/>
      <c r="ND1" s="529"/>
      <c r="NE1" s="529"/>
      <c r="NF1" s="529"/>
      <c r="NG1" s="529"/>
      <c r="NH1" s="529"/>
      <c r="NI1" s="529"/>
      <c r="NJ1" s="529"/>
      <c r="NK1" s="530"/>
      <c r="NL1" s="529"/>
      <c r="NM1" s="529"/>
      <c r="NN1" s="529"/>
      <c r="NO1" s="529"/>
      <c r="NP1" s="529"/>
      <c r="NQ1" s="529"/>
      <c r="NR1" s="529"/>
      <c r="NS1" s="530"/>
      <c r="NT1" s="529"/>
      <c r="NU1" s="529"/>
      <c r="NV1" s="529"/>
      <c r="NW1" s="529"/>
      <c r="NX1" s="529"/>
      <c r="NY1" s="529"/>
      <c r="NZ1" s="529"/>
      <c r="OA1" s="530"/>
      <c r="OB1" s="529"/>
      <c r="OC1" s="529"/>
      <c r="OD1" s="529"/>
      <c r="OE1" s="529"/>
      <c r="OF1" s="529"/>
      <c r="OG1" s="529"/>
      <c r="OH1" s="529"/>
      <c r="OI1" s="530"/>
      <c r="OJ1" s="529"/>
      <c r="OK1" s="529"/>
      <c r="OL1" s="529"/>
      <c r="OM1" s="529"/>
      <c r="ON1" s="529"/>
      <c r="OO1" s="529"/>
      <c r="OP1" s="529"/>
      <c r="OQ1" s="530"/>
      <c r="OR1" s="529"/>
      <c r="OS1" s="529"/>
      <c r="OT1" s="529"/>
      <c r="OU1" s="529"/>
      <c r="OV1" s="529"/>
      <c r="OW1" s="529"/>
      <c r="OX1" s="529"/>
      <c r="OY1" s="530"/>
      <c r="OZ1" s="529"/>
      <c r="PA1" s="529"/>
      <c r="PB1" s="529"/>
      <c r="PC1" s="529"/>
      <c r="PD1" s="529"/>
      <c r="PE1" s="529"/>
      <c r="PF1" s="529"/>
      <c r="PG1" s="530"/>
      <c r="PH1" s="529"/>
      <c r="PI1" s="529"/>
      <c r="PJ1" s="529"/>
      <c r="PK1" s="529"/>
      <c r="PL1" s="529"/>
      <c r="PM1" s="529"/>
      <c r="PN1" s="529"/>
      <c r="PO1" s="530"/>
      <c r="PP1" s="529"/>
      <c r="PQ1" s="529"/>
      <c r="PR1" s="529"/>
      <c r="PS1" s="529"/>
      <c r="PT1" s="529"/>
      <c r="PU1" s="529"/>
      <c r="PV1" s="529"/>
      <c r="PW1" s="530"/>
      <c r="PX1" s="529"/>
      <c r="PY1" s="529"/>
      <c r="PZ1" s="529"/>
      <c r="QA1" s="529"/>
      <c r="QB1" s="529"/>
      <c r="QC1" s="529"/>
      <c r="QD1" s="529"/>
      <c r="QE1" s="530"/>
      <c r="QF1" s="529"/>
      <c r="QG1" s="529"/>
      <c r="QH1" s="529"/>
      <c r="QI1" s="529"/>
      <c r="QJ1" s="529"/>
      <c r="QK1" s="529"/>
      <c r="QL1" s="529"/>
      <c r="QM1" s="530"/>
      <c r="QN1" s="529"/>
      <c r="QO1" s="529"/>
      <c r="QP1" s="529"/>
      <c r="QQ1" s="529"/>
      <c r="QR1" s="529"/>
      <c r="QS1" s="529"/>
      <c r="QT1" s="529"/>
      <c r="QU1" s="530"/>
      <c r="QV1" s="529"/>
      <c r="QW1" s="529"/>
      <c r="QX1" s="529"/>
      <c r="QY1" s="529"/>
      <c r="QZ1" s="529"/>
      <c r="RA1" s="529"/>
      <c r="RB1" s="529"/>
      <c r="RC1" s="530"/>
      <c r="RD1" s="529"/>
      <c r="RE1" s="529"/>
      <c r="RF1" s="529"/>
      <c r="RG1" s="529"/>
      <c r="RH1" s="529"/>
      <c r="RI1" s="529"/>
      <c r="RJ1" s="529"/>
      <c r="RK1" s="530"/>
      <c r="RL1" s="529"/>
      <c r="RM1" s="529"/>
      <c r="RN1" s="529"/>
      <c r="RO1" s="529"/>
      <c r="RP1" s="529"/>
      <c r="RQ1" s="529"/>
      <c r="RR1" s="529"/>
      <c r="RS1" s="530"/>
      <c r="RT1" s="529"/>
      <c r="RU1" s="529"/>
      <c r="RV1" s="529"/>
      <c r="RW1" s="529"/>
      <c r="RX1" s="529"/>
      <c r="RY1" s="529"/>
      <c r="RZ1" s="529"/>
      <c r="SA1" s="530"/>
      <c r="SB1" s="529"/>
      <c r="SC1" s="529"/>
      <c r="SD1" s="529"/>
      <c r="SE1" s="529"/>
      <c r="SF1" s="529"/>
      <c r="SG1" s="529"/>
      <c r="SH1" s="529"/>
      <c r="SI1" s="530"/>
      <c r="SJ1" s="529"/>
      <c r="SK1" s="529"/>
      <c r="SL1" s="529"/>
      <c r="SM1" s="529"/>
      <c r="SN1" s="529"/>
      <c r="SO1" s="529"/>
      <c r="SP1" s="529"/>
      <c r="SQ1" s="530"/>
      <c r="SR1" s="529"/>
      <c r="SS1" s="529"/>
      <c r="ST1" s="529"/>
      <c r="SU1" s="529"/>
      <c r="SV1" s="529"/>
      <c r="SW1" s="529"/>
      <c r="SX1" s="529"/>
      <c r="SY1" s="530"/>
      <c r="SZ1" s="529"/>
      <c r="TA1" s="529"/>
      <c r="TB1" s="529"/>
      <c r="TC1" s="529"/>
      <c r="TD1" s="529"/>
      <c r="TE1" s="529"/>
      <c r="TF1" s="529"/>
      <c r="TG1" s="530"/>
      <c r="TH1" s="529"/>
      <c r="TI1" s="529"/>
      <c r="TJ1" s="529"/>
      <c r="TK1" s="529"/>
      <c r="TL1" s="529"/>
      <c r="TM1" s="529"/>
      <c r="TN1" s="529"/>
      <c r="TO1" s="530"/>
      <c r="TP1" s="529"/>
      <c r="TQ1" s="529"/>
      <c r="TR1" s="529"/>
      <c r="TS1" s="529"/>
      <c r="TT1" s="529"/>
      <c r="TU1" s="529"/>
      <c r="TV1" s="529"/>
      <c r="TW1" s="530"/>
      <c r="TX1" s="529"/>
      <c r="TY1" s="529"/>
      <c r="TZ1" s="529"/>
      <c r="UA1" s="529"/>
      <c r="UB1" s="529"/>
      <c r="UC1" s="529"/>
      <c r="UD1" s="529"/>
      <c r="UE1" s="530"/>
      <c r="UF1" s="529"/>
      <c r="UG1" s="529"/>
      <c r="UH1" s="529"/>
      <c r="UI1" s="529"/>
      <c r="UJ1" s="529"/>
      <c r="UK1" s="529"/>
      <c r="UL1" s="529"/>
      <c r="UM1" s="530"/>
      <c r="UN1" s="529"/>
      <c r="UO1" s="529"/>
      <c r="UP1" s="529"/>
      <c r="UQ1" s="529"/>
      <c r="UR1" s="529"/>
      <c r="US1" s="529"/>
      <c r="UT1" s="529"/>
      <c r="UU1" s="530"/>
      <c r="UV1" s="529"/>
      <c r="UW1" s="529"/>
      <c r="UX1" s="529"/>
      <c r="UY1" s="529"/>
      <c r="UZ1" s="529"/>
      <c r="VA1" s="529"/>
      <c r="VB1" s="529"/>
      <c r="VC1" s="530"/>
      <c r="VD1" s="529"/>
      <c r="VE1" s="529"/>
      <c r="VF1" s="529"/>
      <c r="VG1" s="529"/>
      <c r="VH1" s="529"/>
      <c r="VI1" s="529"/>
      <c r="VJ1" s="529"/>
      <c r="VK1" s="530"/>
      <c r="VL1" s="529"/>
      <c r="VM1" s="529"/>
      <c r="VN1" s="529"/>
      <c r="VO1" s="529"/>
      <c r="VP1" s="529"/>
      <c r="VQ1" s="529"/>
      <c r="VR1" s="529"/>
      <c r="VS1" s="530"/>
      <c r="VT1" s="529"/>
      <c r="VU1" s="529"/>
      <c r="VV1" s="529"/>
      <c r="VW1" s="529"/>
      <c r="VX1" s="529"/>
      <c r="VY1" s="529"/>
      <c r="VZ1" s="529"/>
      <c r="WA1" s="530"/>
      <c r="WB1" s="529"/>
      <c r="WC1" s="529"/>
      <c r="WD1" s="529"/>
      <c r="WE1" s="529"/>
      <c r="WF1" s="529"/>
      <c r="WG1" s="529"/>
      <c r="WH1" s="529"/>
      <c r="WI1" s="530"/>
      <c r="WJ1" s="529"/>
      <c r="WK1" s="529"/>
      <c r="WL1" s="529"/>
      <c r="WM1" s="529"/>
      <c r="WN1" s="529"/>
      <c r="WO1" s="529"/>
      <c r="WP1" s="529"/>
      <c r="WQ1" s="530"/>
      <c r="WR1" s="529"/>
      <c r="WS1" s="529"/>
      <c r="WT1" s="529"/>
      <c r="WU1" s="529"/>
      <c r="WV1" s="529"/>
      <c r="WW1" s="529"/>
      <c r="WX1" s="529"/>
      <c r="WY1" s="530"/>
      <c r="WZ1" s="529"/>
      <c r="XA1" s="529"/>
      <c r="XB1" s="529"/>
      <c r="XC1" s="529"/>
      <c r="XD1" s="529"/>
      <c r="XE1" s="529"/>
      <c r="XF1" s="529"/>
      <c r="XG1" s="530"/>
      <c r="XH1" s="529"/>
      <c r="XI1" s="529"/>
      <c r="XJ1" s="529"/>
      <c r="XK1" s="529"/>
      <c r="XL1" s="529"/>
      <c r="XM1" s="529"/>
      <c r="XN1" s="529"/>
      <c r="XO1" s="530"/>
      <c r="XP1" s="529"/>
      <c r="XQ1" s="529"/>
      <c r="XR1" s="529"/>
      <c r="XS1" s="529"/>
      <c r="XT1" s="529"/>
      <c r="XU1" s="529"/>
      <c r="XV1" s="529"/>
      <c r="XW1" s="530"/>
      <c r="XX1" s="529"/>
      <c r="XY1" s="529"/>
      <c r="XZ1" s="529"/>
      <c r="YA1" s="529"/>
      <c r="YB1" s="529"/>
      <c r="YC1" s="529"/>
      <c r="YD1" s="529"/>
      <c r="YE1" s="530"/>
      <c r="YF1" s="529"/>
      <c r="YG1" s="529"/>
      <c r="YH1" s="529"/>
      <c r="YI1" s="529"/>
      <c r="YJ1" s="529"/>
      <c r="YK1" s="529"/>
      <c r="YL1" s="529"/>
      <c r="YM1" s="530"/>
      <c r="YN1" s="529"/>
      <c r="YO1" s="529"/>
      <c r="YP1" s="529"/>
      <c r="YQ1" s="529"/>
      <c r="YR1" s="529"/>
      <c r="YS1" s="529"/>
      <c r="YT1" s="529"/>
      <c r="YU1" s="530"/>
      <c r="YV1" s="529"/>
      <c r="YW1" s="529"/>
      <c r="YX1" s="529"/>
      <c r="YY1" s="529"/>
      <c r="YZ1" s="529"/>
      <c r="ZA1" s="529"/>
      <c r="ZB1" s="529"/>
      <c r="ZC1" s="530"/>
      <c r="ZD1" s="529"/>
      <c r="ZE1" s="529"/>
      <c r="ZF1" s="529"/>
      <c r="ZG1" s="529"/>
      <c r="ZH1" s="529"/>
      <c r="ZI1" s="529"/>
      <c r="ZJ1" s="529"/>
      <c r="ZK1" s="530"/>
      <c r="ZL1" s="529"/>
      <c r="ZM1" s="529"/>
      <c r="ZN1" s="529"/>
      <c r="ZO1" s="529"/>
      <c r="ZP1" s="529"/>
      <c r="ZQ1" s="529"/>
      <c r="ZR1" s="529"/>
      <c r="ZS1" s="530"/>
      <c r="ZT1" s="529"/>
      <c r="ZU1" s="529"/>
      <c r="ZV1" s="529"/>
      <c r="ZW1" s="529"/>
      <c r="ZX1" s="529"/>
      <c r="ZY1" s="529"/>
      <c r="ZZ1" s="529"/>
      <c r="AAA1" s="530"/>
      <c r="AAB1" s="529"/>
      <c r="AAC1" s="529"/>
      <c r="AAD1" s="529"/>
      <c r="AAE1" s="529"/>
      <c r="AAF1" s="529"/>
      <c r="AAG1" s="529"/>
      <c r="AAH1" s="529"/>
      <c r="AAI1" s="530"/>
      <c r="AAJ1" s="529"/>
      <c r="AAK1" s="529"/>
      <c r="AAL1" s="529"/>
      <c r="AAM1" s="529"/>
      <c r="AAN1" s="529"/>
      <c r="AAO1" s="529"/>
      <c r="AAP1" s="529"/>
      <c r="AAQ1" s="530"/>
      <c r="AAR1" s="529"/>
      <c r="AAS1" s="529"/>
      <c r="AAT1" s="529"/>
      <c r="AAU1" s="529"/>
      <c r="AAV1" s="529"/>
      <c r="AAW1" s="529"/>
      <c r="AAX1" s="529"/>
      <c r="AAY1" s="530"/>
      <c r="AAZ1" s="529"/>
      <c r="ABA1" s="529"/>
      <c r="ABB1" s="529"/>
      <c r="ABC1" s="529"/>
      <c r="ABD1" s="529"/>
      <c r="ABE1" s="529"/>
      <c r="ABF1" s="529"/>
      <c r="ABG1" s="530"/>
      <c r="ABH1" s="529"/>
      <c r="ABI1" s="529"/>
      <c r="ABJ1" s="529"/>
      <c r="ABK1" s="529"/>
      <c r="ABL1" s="529"/>
      <c r="ABM1" s="529"/>
      <c r="ABN1" s="529"/>
      <c r="ABO1" s="530"/>
      <c r="ABP1" s="529"/>
      <c r="ABQ1" s="529"/>
      <c r="ABR1" s="529"/>
      <c r="ABS1" s="529"/>
      <c r="ABT1" s="529"/>
      <c r="ABU1" s="529"/>
      <c r="ABV1" s="529"/>
      <c r="ABW1" s="530"/>
      <c r="ABX1" s="529"/>
      <c r="ABY1" s="529"/>
      <c r="ABZ1" s="529"/>
      <c r="ACA1" s="529"/>
      <c r="ACB1" s="529"/>
      <c r="ACC1" s="529"/>
      <c r="ACD1" s="529"/>
      <c r="ACE1" s="530"/>
      <c r="ACF1" s="529"/>
      <c r="ACG1" s="529"/>
      <c r="ACH1" s="529"/>
      <c r="ACI1" s="529"/>
      <c r="ACJ1" s="529"/>
      <c r="ACK1" s="529"/>
      <c r="ACL1" s="529"/>
      <c r="ACM1" s="530"/>
      <c r="ACN1" s="529"/>
      <c r="ACO1" s="529"/>
      <c r="ACP1" s="529"/>
      <c r="ACQ1" s="529"/>
      <c r="ACR1" s="529"/>
      <c r="ACS1" s="529"/>
      <c r="ACT1" s="529"/>
      <c r="ACU1" s="530"/>
      <c r="ACV1" s="529"/>
      <c r="ACW1" s="529"/>
      <c r="ACX1" s="529"/>
      <c r="ACY1" s="529"/>
      <c r="ACZ1" s="529"/>
      <c r="ADA1" s="529"/>
      <c r="ADB1" s="529"/>
      <c r="ADC1" s="530"/>
      <c r="ADD1" s="529"/>
      <c r="ADE1" s="529"/>
      <c r="ADF1" s="529"/>
      <c r="ADG1" s="529"/>
      <c r="ADH1" s="529"/>
      <c r="ADI1" s="529"/>
      <c r="ADJ1" s="529"/>
      <c r="ADK1" s="530"/>
      <c r="ADL1" s="529"/>
      <c r="ADM1" s="529"/>
      <c r="ADN1" s="529"/>
      <c r="ADO1" s="529"/>
      <c r="ADP1" s="529"/>
      <c r="ADQ1" s="529"/>
      <c r="ADR1" s="529"/>
      <c r="ADS1" s="530"/>
      <c r="ADT1" s="529"/>
      <c r="ADU1" s="529"/>
      <c r="ADV1" s="529"/>
      <c r="ADW1" s="529"/>
      <c r="ADX1" s="529"/>
      <c r="ADY1" s="529"/>
      <c r="ADZ1" s="529"/>
      <c r="AEA1" s="530"/>
      <c r="AEB1" s="529"/>
      <c r="AEC1" s="529"/>
      <c r="AED1" s="529"/>
      <c r="AEE1" s="529"/>
      <c r="AEF1" s="529"/>
      <c r="AEG1" s="529"/>
      <c r="AEH1" s="529"/>
      <c r="AEI1" s="530"/>
      <c r="AEJ1" s="529"/>
      <c r="AEK1" s="529"/>
      <c r="AEL1" s="529"/>
      <c r="AEM1" s="529"/>
      <c r="AEN1" s="529"/>
      <c r="AEO1" s="529"/>
      <c r="AEP1" s="529"/>
      <c r="AEQ1" s="530"/>
      <c r="AER1" s="529"/>
      <c r="AES1" s="529"/>
      <c r="AET1" s="529"/>
      <c r="AEU1" s="529"/>
      <c r="AEV1" s="529"/>
      <c r="AEW1" s="529"/>
      <c r="AEX1" s="529"/>
      <c r="AEY1" s="530"/>
      <c r="AEZ1" s="529"/>
      <c r="AFA1" s="529"/>
      <c r="AFB1" s="529"/>
      <c r="AFC1" s="529"/>
      <c r="AFD1" s="529"/>
      <c r="AFE1" s="529"/>
      <c r="AFF1" s="529"/>
      <c r="AFG1" s="530"/>
      <c r="AFH1" s="529"/>
      <c r="AFI1" s="529"/>
      <c r="AFJ1" s="529"/>
      <c r="AFK1" s="529"/>
      <c r="AFL1" s="529"/>
      <c r="AFM1" s="529"/>
      <c r="AFN1" s="529"/>
      <c r="AFO1" s="530"/>
      <c r="AFP1" s="529"/>
      <c r="AFQ1" s="529"/>
      <c r="AFR1" s="529"/>
      <c r="AFS1" s="529"/>
      <c r="AFT1" s="529"/>
      <c r="AFU1" s="529"/>
      <c r="AFV1" s="529"/>
      <c r="AFW1" s="530"/>
      <c r="AFX1" s="529"/>
      <c r="AFY1" s="529"/>
      <c r="AFZ1" s="529"/>
      <c r="AGA1" s="529"/>
      <c r="AGB1" s="529"/>
      <c r="AGC1" s="529"/>
      <c r="AGD1" s="529"/>
      <c r="AGE1" s="530"/>
      <c r="AGF1" s="529"/>
      <c r="AGG1" s="529"/>
      <c r="AGH1" s="529"/>
      <c r="AGI1" s="529"/>
      <c r="AGJ1" s="529"/>
      <c r="AGK1" s="529"/>
      <c r="AGL1" s="529"/>
      <c r="AGM1" s="530"/>
      <c r="AGN1" s="529"/>
      <c r="AGO1" s="529"/>
      <c r="AGP1" s="529"/>
      <c r="AGQ1" s="529"/>
      <c r="AGR1" s="529"/>
      <c r="AGS1" s="529"/>
      <c r="AGT1" s="529"/>
      <c r="AGU1" s="530"/>
      <c r="AGV1" s="529"/>
      <c r="AGW1" s="529"/>
      <c r="AGX1" s="529"/>
      <c r="AGY1" s="529"/>
      <c r="AGZ1" s="529"/>
      <c r="AHA1" s="529"/>
      <c r="AHB1" s="529"/>
      <c r="AHC1" s="530"/>
      <c r="AHD1" s="529"/>
      <c r="AHE1" s="529"/>
      <c r="AHF1" s="529"/>
      <c r="AHG1" s="529"/>
      <c r="AHH1" s="529"/>
      <c r="AHI1" s="529"/>
      <c r="AHJ1" s="529"/>
      <c r="AHK1" s="530"/>
      <c r="AHL1" s="529"/>
      <c r="AHM1" s="529"/>
      <c r="AHN1" s="529"/>
      <c r="AHO1" s="529"/>
      <c r="AHP1" s="529"/>
      <c r="AHQ1" s="529"/>
      <c r="AHR1" s="529"/>
      <c r="AHS1" s="530"/>
      <c r="AHT1" s="529"/>
      <c r="AHU1" s="529"/>
      <c r="AHV1" s="529"/>
      <c r="AHW1" s="529"/>
      <c r="AHX1" s="529"/>
      <c r="AHY1" s="529"/>
      <c r="AHZ1" s="529"/>
      <c r="AIA1" s="530"/>
      <c r="AIB1" s="529"/>
      <c r="AIC1" s="529"/>
      <c r="AID1" s="529"/>
      <c r="AIE1" s="529"/>
      <c r="AIF1" s="529"/>
      <c r="AIG1" s="529"/>
      <c r="AIH1" s="529"/>
      <c r="AII1" s="530"/>
      <c r="AIJ1" s="529"/>
      <c r="AIK1" s="529"/>
      <c r="AIL1" s="529"/>
      <c r="AIM1" s="529"/>
      <c r="AIN1" s="529"/>
      <c r="AIO1" s="529"/>
      <c r="AIP1" s="529"/>
      <c r="AIQ1" s="530"/>
      <c r="AIR1" s="529"/>
      <c r="AIS1" s="529"/>
      <c r="AIT1" s="529"/>
      <c r="AIU1" s="529"/>
      <c r="AIV1" s="529"/>
      <c r="AIW1" s="529"/>
      <c r="AIX1" s="529"/>
      <c r="AIY1" s="530"/>
      <c r="AIZ1" s="529"/>
      <c r="AJA1" s="529"/>
      <c r="AJB1" s="529"/>
      <c r="AJC1" s="529"/>
      <c r="AJD1" s="529"/>
      <c r="AJE1" s="529"/>
      <c r="AJF1" s="529"/>
      <c r="AJG1" s="530"/>
      <c r="AJH1" s="529"/>
      <c r="AJI1" s="529"/>
      <c r="AJJ1" s="529"/>
      <c r="AJK1" s="529"/>
      <c r="AJL1" s="529"/>
      <c r="AJM1" s="529"/>
      <c r="AJN1" s="529"/>
      <c r="AJO1" s="530"/>
      <c r="AJP1" s="529"/>
      <c r="AJQ1" s="529"/>
      <c r="AJR1" s="529"/>
      <c r="AJS1" s="529"/>
      <c r="AJT1" s="529"/>
      <c r="AJU1" s="529"/>
      <c r="AJV1" s="529"/>
      <c r="AJW1" s="530"/>
      <c r="AJX1" s="529"/>
      <c r="AJY1" s="529"/>
      <c r="AJZ1" s="529"/>
      <c r="AKA1" s="529"/>
      <c r="AKB1" s="529"/>
      <c r="AKC1" s="529"/>
      <c r="AKD1" s="529"/>
      <c r="AKE1" s="530"/>
      <c r="AKF1" s="529"/>
      <c r="AKG1" s="529"/>
      <c r="AKH1" s="529"/>
      <c r="AKI1" s="529"/>
      <c r="AKJ1" s="529"/>
      <c r="AKK1" s="529"/>
      <c r="AKL1" s="529"/>
      <c r="AKM1" s="530"/>
      <c r="AKN1" s="529"/>
      <c r="AKO1" s="529"/>
      <c r="AKP1" s="529"/>
      <c r="AKQ1" s="529"/>
      <c r="AKR1" s="529"/>
      <c r="AKS1" s="529"/>
      <c r="AKT1" s="529"/>
      <c r="AKU1" s="530"/>
      <c r="AKV1" s="529"/>
      <c r="AKW1" s="529"/>
      <c r="AKX1" s="529"/>
      <c r="AKY1" s="529"/>
      <c r="AKZ1" s="529"/>
      <c r="ALA1" s="529"/>
      <c r="ALB1" s="529"/>
      <c r="ALC1" s="530"/>
      <c r="ALD1" s="529"/>
      <c r="ALE1" s="529"/>
      <c r="ALF1" s="529"/>
      <c r="ALG1" s="529"/>
      <c r="ALH1" s="529"/>
      <c r="ALI1" s="529"/>
      <c r="ALJ1" s="529"/>
      <c r="ALK1" s="530"/>
      <c r="ALL1" s="529"/>
      <c r="ALM1" s="529"/>
      <c r="ALN1" s="529"/>
      <c r="ALO1" s="529"/>
      <c r="ALP1" s="529"/>
      <c r="ALQ1" s="529"/>
      <c r="ALR1" s="529"/>
      <c r="ALS1" s="530"/>
      <c r="ALT1" s="529"/>
      <c r="ALU1" s="529"/>
      <c r="ALV1" s="529"/>
      <c r="ALW1" s="529"/>
      <c r="ALX1" s="529"/>
      <c r="ALY1" s="529"/>
      <c r="ALZ1" s="529"/>
      <c r="AMA1" s="530"/>
      <c r="AMB1" s="529"/>
      <c r="AMC1" s="529"/>
      <c r="AMD1" s="529"/>
      <c r="AME1" s="529"/>
      <c r="AMF1" s="529"/>
      <c r="AMG1" s="529"/>
      <c r="AMH1" s="529"/>
      <c r="AMI1" s="530"/>
      <c r="AMJ1" s="529"/>
      <c r="AMK1" s="529"/>
      <c r="AML1" s="529"/>
      <c r="AMM1" s="529"/>
      <c r="AMN1" s="529"/>
      <c r="AMO1" s="529"/>
      <c r="AMP1" s="529"/>
      <c r="AMQ1" s="530"/>
      <c r="AMR1" s="529"/>
      <c r="AMS1" s="529"/>
      <c r="AMT1" s="529"/>
      <c r="AMU1" s="529"/>
      <c r="AMV1" s="529"/>
      <c r="AMW1" s="529"/>
      <c r="AMX1" s="529"/>
      <c r="AMY1" s="530"/>
      <c r="AMZ1" s="529"/>
      <c r="ANA1" s="529"/>
      <c r="ANB1" s="529"/>
      <c r="ANC1" s="529"/>
      <c r="AND1" s="529"/>
      <c r="ANE1" s="529"/>
      <c r="ANF1" s="529"/>
      <c r="ANG1" s="530"/>
      <c r="ANH1" s="529"/>
      <c r="ANI1" s="529"/>
      <c r="ANJ1" s="529"/>
      <c r="ANK1" s="529"/>
      <c r="ANL1" s="529"/>
      <c r="ANM1" s="529"/>
      <c r="ANN1" s="529"/>
      <c r="ANO1" s="530"/>
      <c r="ANP1" s="529"/>
      <c r="ANQ1" s="529"/>
      <c r="ANR1" s="529"/>
      <c r="ANS1" s="529"/>
      <c r="ANT1" s="529"/>
      <c r="ANU1" s="529"/>
      <c r="ANV1" s="529"/>
      <c r="ANW1" s="530"/>
      <c r="ANX1" s="529"/>
      <c r="ANY1" s="529"/>
      <c r="ANZ1" s="529"/>
      <c r="AOA1" s="529"/>
      <c r="AOB1" s="529"/>
      <c r="AOC1" s="529"/>
      <c r="AOD1" s="529"/>
      <c r="AOE1" s="530"/>
      <c r="AOF1" s="529"/>
      <c r="AOG1" s="529"/>
      <c r="AOH1" s="529"/>
      <c r="AOI1" s="529"/>
      <c r="AOJ1" s="529"/>
      <c r="AOK1" s="529"/>
      <c r="AOL1" s="529"/>
      <c r="AOM1" s="530"/>
      <c r="AON1" s="529"/>
      <c r="AOO1" s="529"/>
      <c r="AOP1" s="529"/>
      <c r="AOQ1" s="529"/>
      <c r="AOR1" s="529"/>
      <c r="AOS1" s="529"/>
      <c r="AOT1" s="529"/>
      <c r="AOU1" s="530"/>
      <c r="AOV1" s="529"/>
      <c r="AOW1" s="529"/>
      <c r="AOX1" s="529"/>
      <c r="AOY1" s="529"/>
      <c r="AOZ1" s="529"/>
      <c r="APA1" s="529"/>
      <c r="APB1" s="529"/>
      <c r="APC1" s="530"/>
      <c r="APD1" s="529"/>
      <c r="APE1" s="529"/>
      <c r="APF1" s="529"/>
      <c r="APG1" s="529"/>
      <c r="APH1" s="529"/>
      <c r="API1" s="529"/>
      <c r="APJ1" s="529"/>
      <c r="APK1" s="530"/>
      <c r="APL1" s="529"/>
      <c r="APM1" s="529"/>
      <c r="APN1" s="529"/>
      <c r="APO1" s="529"/>
      <c r="APP1" s="529"/>
      <c r="APQ1" s="529"/>
      <c r="APR1" s="529"/>
      <c r="APS1" s="530"/>
      <c r="APT1" s="529"/>
      <c r="APU1" s="529"/>
      <c r="APV1" s="529"/>
      <c r="APW1" s="529"/>
      <c r="APX1" s="529"/>
      <c r="APY1" s="529"/>
      <c r="APZ1" s="529"/>
      <c r="AQA1" s="530"/>
      <c r="AQB1" s="529"/>
      <c r="AQC1" s="529"/>
      <c r="AQD1" s="529"/>
      <c r="AQE1" s="529"/>
      <c r="AQF1" s="529"/>
      <c r="AQG1" s="529"/>
      <c r="AQH1" s="529"/>
      <c r="AQI1" s="530"/>
      <c r="AQJ1" s="529"/>
      <c r="AQK1" s="529"/>
      <c r="AQL1" s="529"/>
      <c r="AQM1" s="529"/>
      <c r="AQN1" s="529"/>
      <c r="AQO1" s="529"/>
      <c r="AQP1" s="529"/>
      <c r="AQQ1" s="530"/>
      <c r="AQR1" s="529"/>
      <c r="AQS1" s="529"/>
      <c r="AQT1" s="529"/>
      <c r="AQU1" s="529"/>
      <c r="AQV1" s="529"/>
      <c r="AQW1" s="529"/>
      <c r="AQX1" s="529"/>
      <c r="AQY1" s="530"/>
      <c r="AQZ1" s="529"/>
      <c r="ARA1" s="529"/>
      <c r="ARB1" s="529"/>
      <c r="ARC1" s="529"/>
      <c r="ARD1" s="529"/>
      <c r="ARE1" s="529"/>
      <c r="ARF1" s="529"/>
      <c r="ARG1" s="530"/>
      <c r="ARH1" s="529"/>
      <c r="ARI1" s="529"/>
      <c r="ARJ1" s="529"/>
      <c r="ARK1" s="529"/>
      <c r="ARL1" s="529"/>
      <c r="ARM1" s="529"/>
      <c r="ARN1" s="529"/>
      <c r="ARO1" s="530"/>
      <c r="ARP1" s="529"/>
      <c r="ARQ1" s="529"/>
      <c r="ARR1" s="529"/>
      <c r="ARS1" s="529"/>
      <c r="ART1" s="529"/>
      <c r="ARU1" s="529"/>
      <c r="ARV1" s="529"/>
      <c r="ARW1" s="530"/>
      <c r="ARX1" s="529"/>
      <c r="ARY1" s="529"/>
      <c r="ARZ1" s="529"/>
      <c r="ASA1" s="529"/>
      <c r="ASB1" s="529"/>
      <c r="ASC1" s="529"/>
      <c r="ASD1" s="529"/>
      <c r="ASE1" s="530"/>
      <c r="ASF1" s="529"/>
      <c r="ASG1" s="529"/>
      <c r="ASH1" s="529"/>
      <c r="ASI1" s="529"/>
      <c r="ASJ1" s="529"/>
      <c r="ASK1" s="529"/>
      <c r="ASL1" s="529"/>
      <c r="ASM1" s="530"/>
      <c r="ASN1" s="529"/>
      <c r="ASO1" s="529"/>
      <c r="ASP1" s="529"/>
      <c r="ASQ1" s="529"/>
      <c r="ASR1" s="529"/>
      <c r="ASS1" s="529"/>
      <c r="AST1" s="529"/>
      <c r="ASU1" s="530"/>
      <c r="ASV1" s="529"/>
      <c r="ASW1" s="529"/>
      <c r="ASX1" s="529"/>
      <c r="ASY1" s="529"/>
      <c r="ASZ1" s="529"/>
      <c r="ATA1" s="529"/>
      <c r="ATB1" s="529"/>
      <c r="ATC1" s="530"/>
      <c r="ATD1" s="529"/>
      <c r="ATE1" s="529"/>
      <c r="ATF1" s="529"/>
      <c r="ATG1" s="529"/>
      <c r="ATH1" s="529"/>
      <c r="ATI1" s="529"/>
      <c r="ATJ1" s="529"/>
      <c r="ATK1" s="530"/>
      <c r="ATL1" s="529"/>
      <c r="ATM1" s="529"/>
      <c r="ATN1" s="529"/>
      <c r="ATO1" s="529"/>
      <c r="ATP1" s="529"/>
      <c r="ATQ1" s="529"/>
      <c r="ATR1" s="529"/>
      <c r="ATS1" s="530"/>
      <c r="ATT1" s="529"/>
      <c r="ATU1" s="529"/>
      <c r="ATV1" s="529"/>
      <c r="ATW1" s="529"/>
      <c r="ATX1" s="529"/>
      <c r="ATY1" s="529"/>
      <c r="ATZ1" s="529"/>
      <c r="AUA1" s="530"/>
      <c r="AUB1" s="529"/>
      <c r="AUC1" s="529"/>
      <c r="AUD1" s="529"/>
      <c r="AUE1" s="529"/>
      <c r="AUF1" s="529"/>
      <c r="AUG1" s="529"/>
      <c r="AUH1" s="529"/>
      <c r="AUI1" s="530"/>
      <c r="AUJ1" s="529"/>
      <c r="AUK1" s="529"/>
      <c r="AUL1" s="529"/>
      <c r="AUM1" s="529"/>
      <c r="AUN1" s="529"/>
      <c r="AUO1" s="529"/>
      <c r="AUP1" s="529"/>
      <c r="AUQ1" s="530"/>
      <c r="AUR1" s="529"/>
      <c r="AUS1" s="529"/>
      <c r="AUT1" s="529"/>
      <c r="AUU1" s="529"/>
      <c r="AUV1" s="529"/>
      <c r="AUW1" s="529"/>
      <c r="AUX1" s="529"/>
      <c r="AUY1" s="530"/>
      <c r="AUZ1" s="529"/>
      <c r="AVA1" s="529"/>
      <c r="AVB1" s="529"/>
      <c r="AVC1" s="529"/>
      <c r="AVD1" s="529"/>
      <c r="AVE1" s="529"/>
      <c r="AVF1" s="529"/>
      <c r="AVG1" s="530"/>
      <c r="AVH1" s="529"/>
      <c r="AVI1" s="529"/>
      <c r="AVJ1" s="529"/>
      <c r="AVK1" s="529"/>
      <c r="AVL1" s="529"/>
      <c r="AVM1" s="529"/>
      <c r="AVN1" s="529"/>
      <c r="AVO1" s="530"/>
      <c r="AVP1" s="529"/>
      <c r="AVQ1" s="529"/>
      <c r="AVR1" s="529"/>
      <c r="AVS1" s="529"/>
      <c r="AVT1" s="529"/>
      <c r="AVU1" s="529"/>
      <c r="AVV1" s="529"/>
      <c r="AVW1" s="530"/>
      <c r="AVX1" s="529"/>
      <c r="AVY1" s="529"/>
      <c r="AVZ1" s="529"/>
      <c r="AWA1" s="529"/>
      <c r="AWB1" s="529"/>
      <c r="AWC1" s="529"/>
      <c r="AWD1" s="529"/>
      <c r="AWE1" s="530"/>
      <c r="AWF1" s="529"/>
      <c r="AWG1" s="529"/>
      <c r="AWH1" s="529"/>
      <c r="AWI1" s="529"/>
      <c r="AWJ1" s="529"/>
      <c r="AWK1" s="529"/>
      <c r="AWL1" s="529"/>
      <c r="AWM1" s="530"/>
      <c r="AWN1" s="529"/>
      <c r="AWO1" s="529"/>
      <c r="AWP1" s="529"/>
      <c r="AWQ1" s="529"/>
      <c r="AWR1" s="529"/>
      <c r="AWS1" s="529"/>
      <c r="AWT1" s="529"/>
      <c r="AWU1" s="530"/>
      <c r="AWV1" s="529"/>
      <c r="AWW1" s="529"/>
      <c r="AWX1" s="529"/>
      <c r="AWY1" s="529"/>
      <c r="AWZ1" s="529"/>
      <c r="AXA1" s="529"/>
      <c r="AXB1" s="529"/>
      <c r="AXC1" s="530"/>
      <c r="AXD1" s="529"/>
      <c r="AXE1" s="529"/>
      <c r="AXF1" s="529"/>
      <c r="AXG1" s="529"/>
      <c r="AXH1" s="529"/>
      <c r="AXI1" s="529"/>
      <c r="AXJ1" s="529"/>
      <c r="AXK1" s="530"/>
      <c r="AXL1" s="529"/>
      <c r="AXM1" s="529"/>
      <c r="AXN1" s="529"/>
      <c r="AXO1" s="529"/>
      <c r="AXP1" s="529"/>
      <c r="AXQ1" s="529"/>
      <c r="AXR1" s="529"/>
      <c r="AXS1" s="530"/>
      <c r="AXT1" s="529"/>
      <c r="AXU1" s="529"/>
      <c r="AXV1" s="529"/>
      <c r="AXW1" s="529"/>
      <c r="AXX1" s="529"/>
      <c r="AXY1" s="529"/>
      <c r="AXZ1" s="529"/>
      <c r="AYA1" s="530"/>
      <c r="AYB1" s="529"/>
      <c r="AYC1" s="529"/>
      <c r="AYD1" s="529"/>
      <c r="AYE1" s="529"/>
      <c r="AYF1" s="529"/>
      <c r="AYG1" s="529"/>
      <c r="AYH1" s="529"/>
      <c r="AYI1" s="530"/>
      <c r="AYJ1" s="529"/>
      <c r="AYK1" s="529"/>
      <c r="AYL1" s="529"/>
      <c r="AYM1" s="529"/>
      <c r="AYN1" s="529"/>
      <c r="AYO1" s="529"/>
      <c r="AYP1" s="529"/>
      <c r="AYQ1" s="530"/>
      <c r="AYR1" s="529"/>
      <c r="AYS1" s="529"/>
      <c r="AYT1" s="529"/>
      <c r="AYU1" s="529"/>
      <c r="AYV1" s="529"/>
      <c r="AYW1" s="529"/>
      <c r="AYX1" s="529"/>
      <c r="AYY1" s="530"/>
      <c r="AYZ1" s="529"/>
      <c r="AZA1" s="529"/>
      <c r="AZB1" s="529"/>
      <c r="AZC1" s="529"/>
      <c r="AZD1" s="529"/>
      <c r="AZE1" s="529"/>
      <c r="AZF1" s="529"/>
      <c r="AZG1" s="530"/>
      <c r="AZH1" s="529"/>
      <c r="AZI1" s="529"/>
      <c r="AZJ1" s="529"/>
      <c r="AZK1" s="529"/>
      <c r="AZL1" s="529"/>
      <c r="AZM1" s="529"/>
      <c r="AZN1" s="529"/>
      <c r="AZO1" s="530"/>
      <c r="AZP1" s="529"/>
      <c r="AZQ1" s="529"/>
      <c r="AZR1" s="529"/>
      <c r="AZS1" s="529"/>
      <c r="AZT1" s="529"/>
      <c r="AZU1" s="529"/>
      <c r="AZV1" s="529"/>
      <c r="AZW1" s="530"/>
      <c r="AZX1" s="529"/>
      <c r="AZY1" s="529"/>
      <c r="AZZ1" s="529"/>
      <c r="BAA1" s="529"/>
      <c r="BAB1" s="529"/>
      <c r="BAC1" s="529"/>
      <c r="BAD1" s="529"/>
      <c r="BAE1" s="530"/>
      <c r="BAF1" s="529"/>
      <c r="BAG1" s="529"/>
      <c r="BAH1" s="529"/>
      <c r="BAI1" s="529"/>
      <c r="BAJ1" s="529"/>
      <c r="BAK1" s="529"/>
      <c r="BAL1" s="529"/>
      <c r="BAM1" s="530"/>
      <c r="BAN1" s="529"/>
      <c r="BAO1" s="529"/>
      <c r="BAP1" s="529"/>
      <c r="BAQ1" s="529"/>
      <c r="BAR1" s="529"/>
      <c r="BAS1" s="529"/>
      <c r="BAT1" s="529"/>
      <c r="BAU1" s="530"/>
      <c r="BAV1" s="529"/>
      <c r="BAW1" s="529"/>
      <c r="BAX1" s="529"/>
      <c r="BAY1" s="529"/>
      <c r="BAZ1" s="529"/>
      <c r="BBA1" s="529"/>
      <c r="BBB1" s="529"/>
      <c r="BBC1" s="530"/>
      <c r="BBD1" s="529"/>
      <c r="BBE1" s="529"/>
      <c r="BBF1" s="529"/>
      <c r="BBG1" s="529"/>
      <c r="BBH1" s="529"/>
      <c r="BBI1" s="529"/>
      <c r="BBJ1" s="529"/>
      <c r="BBK1" s="530"/>
      <c r="BBL1" s="529"/>
      <c r="BBM1" s="529"/>
      <c r="BBN1" s="529"/>
      <c r="BBO1" s="529"/>
      <c r="BBP1" s="529"/>
      <c r="BBQ1" s="529"/>
      <c r="BBR1" s="529"/>
      <c r="BBS1" s="530"/>
      <c r="BBT1" s="529"/>
      <c r="BBU1" s="529"/>
      <c r="BBV1" s="529"/>
      <c r="BBW1" s="529"/>
      <c r="BBX1" s="529"/>
      <c r="BBY1" s="529"/>
      <c r="BBZ1" s="529"/>
      <c r="BCA1" s="530"/>
      <c r="BCB1" s="529"/>
      <c r="BCC1" s="529"/>
      <c r="BCD1" s="529"/>
      <c r="BCE1" s="529"/>
      <c r="BCF1" s="529"/>
      <c r="BCG1" s="529"/>
      <c r="BCH1" s="529"/>
      <c r="BCI1" s="530"/>
      <c r="BCJ1" s="529"/>
      <c r="BCK1" s="529"/>
      <c r="BCL1" s="529"/>
      <c r="BCM1" s="529"/>
      <c r="BCN1" s="529"/>
      <c r="BCO1" s="529"/>
      <c r="BCP1" s="529"/>
      <c r="BCQ1" s="530"/>
      <c r="BCR1" s="529"/>
      <c r="BCS1" s="529"/>
      <c r="BCT1" s="529"/>
      <c r="BCU1" s="529"/>
      <c r="BCV1" s="529"/>
      <c r="BCW1" s="529"/>
      <c r="BCX1" s="529"/>
      <c r="BCY1" s="530"/>
      <c r="BCZ1" s="529"/>
      <c r="BDA1" s="529"/>
      <c r="BDB1" s="529"/>
      <c r="BDC1" s="529"/>
      <c r="BDD1" s="529"/>
      <c r="BDE1" s="529"/>
      <c r="BDF1" s="529"/>
      <c r="BDG1" s="530"/>
      <c r="BDH1" s="529"/>
      <c r="BDI1" s="529"/>
      <c r="BDJ1" s="529"/>
      <c r="BDK1" s="529"/>
      <c r="BDL1" s="529"/>
      <c r="BDM1" s="529"/>
      <c r="BDN1" s="529"/>
      <c r="BDO1" s="530"/>
      <c r="BDP1" s="529"/>
      <c r="BDQ1" s="529"/>
      <c r="BDR1" s="529"/>
      <c r="BDS1" s="529"/>
      <c r="BDT1" s="529"/>
      <c r="BDU1" s="529"/>
      <c r="BDV1" s="529"/>
      <c r="BDW1" s="530"/>
      <c r="BDX1" s="529"/>
      <c r="BDY1" s="529"/>
      <c r="BDZ1" s="529"/>
      <c r="BEA1" s="529"/>
      <c r="BEB1" s="529"/>
      <c r="BEC1" s="529"/>
      <c r="BED1" s="529"/>
      <c r="BEE1" s="530"/>
      <c r="BEF1" s="529"/>
      <c r="BEG1" s="529"/>
      <c r="BEH1" s="529"/>
      <c r="BEI1" s="529"/>
      <c r="BEJ1" s="529"/>
      <c r="BEK1" s="529"/>
      <c r="BEL1" s="529"/>
      <c r="BEM1" s="530"/>
      <c r="BEN1" s="529"/>
      <c r="BEO1" s="529"/>
      <c r="BEP1" s="529"/>
      <c r="BEQ1" s="529"/>
      <c r="BER1" s="529"/>
      <c r="BES1" s="529"/>
      <c r="BET1" s="529"/>
      <c r="BEU1" s="530"/>
      <c r="BEV1" s="529"/>
      <c r="BEW1" s="529"/>
      <c r="BEX1" s="529"/>
      <c r="BEY1" s="529"/>
      <c r="BEZ1" s="529"/>
      <c r="BFA1" s="529"/>
      <c r="BFB1" s="529"/>
      <c r="BFC1" s="530"/>
      <c r="BFD1" s="529"/>
      <c r="BFE1" s="529"/>
      <c r="BFF1" s="529"/>
      <c r="BFG1" s="529"/>
      <c r="BFH1" s="529"/>
      <c r="BFI1" s="529"/>
      <c r="BFJ1" s="529"/>
      <c r="BFK1" s="530"/>
      <c r="BFL1" s="529"/>
      <c r="BFM1" s="529"/>
      <c r="BFN1" s="529"/>
      <c r="BFO1" s="529"/>
      <c r="BFP1" s="529"/>
      <c r="BFQ1" s="529"/>
      <c r="BFR1" s="529"/>
      <c r="BFS1" s="530"/>
      <c r="BFT1" s="529"/>
      <c r="BFU1" s="529"/>
      <c r="BFV1" s="529"/>
      <c r="BFW1" s="529"/>
      <c r="BFX1" s="529"/>
      <c r="BFY1" s="529"/>
      <c r="BFZ1" s="529"/>
      <c r="BGA1" s="530"/>
      <c r="BGB1" s="529"/>
      <c r="BGC1" s="529"/>
      <c r="BGD1" s="529"/>
      <c r="BGE1" s="529"/>
      <c r="BGF1" s="529"/>
      <c r="BGG1" s="529"/>
      <c r="BGH1" s="529"/>
      <c r="BGI1" s="530"/>
      <c r="BGJ1" s="529"/>
      <c r="BGK1" s="529"/>
      <c r="BGL1" s="529"/>
      <c r="BGM1" s="529"/>
      <c r="BGN1" s="529"/>
      <c r="BGO1" s="529"/>
      <c r="BGP1" s="529"/>
      <c r="BGQ1" s="530"/>
      <c r="BGR1" s="529"/>
      <c r="BGS1" s="529"/>
      <c r="BGT1" s="529"/>
      <c r="BGU1" s="529"/>
      <c r="BGV1" s="529"/>
      <c r="BGW1" s="529"/>
      <c r="BGX1" s="529"/>
      <c r="BGY1" s="530"/>
      <c r="BGZ1" s="529"/>
      <c r="BHA1" s="529"/>
      <c r="BHB1" s="529"/>
      <c r="BHC1" s="529"/>
      <c r="BHD1" s="529"/>
      <c r="BHE1" s="529"/>
      <c r="BHF1" s="529"/>
      <c r="BHG1" s="530"/>
      <c r="BHH1" s="529"/>
      <c r="BHI1" s="529"/>
      <c r="BHJ1" s="529"/>
      <c r="BHK1" s="529"/>
      <c r="BHL1" s="529"/>
      <c r="BHM1" s="529"/>
      <c r="BHN1" s="529"/>
      <c r="BHO1" s="530"/>
      <c r="BHP1" s="529"/>
      <c r="BHQ1" s="529"/>
      <c r="BHR1" s="529"/>
      <c r="BHS1" s="529"/>
      <c r="BHT1" s="529"/>
      <c r="BHU1" s="529"/>
      <c r="BHV1" s="529"/>
      <c r="BHW1" s="530"/>
      <c r="BHX1" s="529"/>
      <c r="BHY1" s="529"/>
      <c r="BHZ1" s="529"/>
      <c r="BIA1" s="529"/>
      <c r="BIB1" s="529"/>
      <c r="BIC1" s="529"/>
      <c r="BID1" s="529"/>
      <c r="BIE1" s="530"/>
      <c r="BIF1" s="529"/>
      <c r="BIG1" s="529"/>
      <c r="BIH1" s="529"/>
      <c r="BII1" s="529"/>
      <c r="BIJ1" s="529"/>
      <c r="BIK1" s="529"/>
      <c r="BIL1" s="529"/>
      <c r="BIM1" s="530"/>
      <c r="BIN1" s="529"/>
      <c r="BIO1" s="529"/>
      <c r="BIP1" s="529"/>
      <c r="BIQ1" s="529"/>
      <c r="BIR1" s="529"/>
      <c r="BIS1" s="529"/>
      <c r="BIT1" s="529"/>
      <c r="BIU1" s="530"/>
      <c r="BIV1" s="529"/>
      <c r="BIW1" s="529"/>
      <c r="BIX1" s="529"/>
      <c r="BIY1" s="529"/>
      <c r="BIZ1" s="529"/>
      <c r="BJA1" s="529"/>
      <c r="BJB1" s="529"/>
      <c r="BJC1" s="530"/>
      <c r="BJD1" s="529"/>
      <c r="BJE1" s="529"/>
      <c r="BJF1" s="529"/>
      <c r="BJG1" s="529"/>
      <c r="BJH1" s="529"/>
      <c r="BJI1" s="529"/>
      <c r="BJJ1" s="529"/>
      <c r="BJK1" s="530"/>
      <c r="BJL1" s="529"/>
      <c r="BJM1" s="529"/>
      <c r="BJN1" s="529"/>
      <c r="BJO1" s="529"/>
      <c r="BJP1" s="529"/>
      <c r="BJQ1" s="529"/>
      <c r="BJR1" s="529"/>
      <c r="BJS1" s="530"/>
      <c r="BJT1" s="529"/>
      <c r="BJU1" s="529"/>
      <c r="BJV1" s="529"/>
      <c r="BJW1" s="529"/>
      <c r="BJX1" s="529"/>
      <c r="BJY1" s="529"/>
      <c r="BJZ1" s="529"/>
      <c r="BKA1" s="530"/>
      <c r="BKB1" s="529"/>
      <c r="BKC1" s="529"/>
      <c r="BKD1" s="529"/>
      <c r="BKE1" s="529"/>
      <c r="BKF1" s="529"/>
      <c r="BKG1" s="529"/>
      <c r="BKH1" s="529"/>
      <c r="BKI1" s="530"/>
      <c r="BKJ1" s="529"/>
      <c r="BKK1" s="529"/>
      <c r="BKL1" s="529"/>
      <c r="BKM1" s="529"/>
      <c r="BKN1" s="529"/>
      <c r="BKO1" s="529"/>
      <c r="BKP1" s="529"/>
      <c r="BKQ1" s="530"/>
      <c r="BKR1" s="529"/>
      <c r="BKS1" s="529"/>
      <c r="BKT1" s="529"/>
      <c r="BKU1" s="529"/>
      <c r="BKV1" s="529"/>
      <c r="BKW1" s="529"/>
      <c r="BKX1" s="529"/>
      <c r="BKY1" s="530"/>
      <c r="BKZ1" s="529"/>
      <c r="BLA1" s="529"/>
      <c r="BLB1" s="529"/>
      <c r="BLC1" s="529"/>
      <c r="BLD1" s="529"/>
      <c r="BLE1" s="529"/>
      <c r="BLF1" s="529"/>
      <c r="BLG1" s="530"/>
      <c r="BLH1" s="529"/>
      <c r="BLI1" s="529"/>
      <c r="BLJ1" s="529"/>
      <c r="BLK1" s="529"/>
      <c r="BLL1" s="529"/>
      <c r="BLM1" s="529"/>
      <c r="BLN1" s="529"/>
      <c r="BLO1" s="530"/>
      <c r="BLP1" s="529"/>
      <c r="BLQ1" s="529"/>
      <c r="BLR1" s="529"/>
      <c r="BLS1" s="529"/>
      <c r="BLT1" s="529"/>
      <c r="BLU1" s="529"/>
      <c r="BLV1" s="529"/>
      <c r="BLW1" s="530"/>
      <c r="BLX1" s="529"/>
      <c r="BLY1" s="529"/>
      <c r="BLZ1" s="529"/>
      <c r="BMA1" s="529"/>
      <c r="BMB1" s="529"/>
      <c r="BMC1" s="529"/>
      <c r="BMD1" s="529"/>
      <c r="BME1" s="530"/>
      <c r="BMF1" s="529"/>
      <c r="BMG1" s="529"/>
      <c r="BMH1" s="529"/>
      <c r="BMI1" s="529"/>
      <c r="BMJ1" s="529"/>
      <c r="BMK1" s="529"/>
      <c r="BML1" s="529"/>
      <c r="BMM1" s="530"/>
      <c r="BMN1" s="529"/>
      <c r="BMO1" s="529"/>
      <c r="BMP1" s="529"/>
      <c r="BMQ1" s="529"/>
      <c r="BMR1" s="529"/>
      <c r="BMS1" s="529"/>
      <c r="BMT1" s="529"/>
      <c r="BMU1" s="530"/>
      <c r="BMV1" s="529"/>
      <c r="BMW1" s="529"/>
      <c r="BMX1" s="529"/>
      <c r="BMY1" s="529"/>
      <c r="BMZ1" s="529"/>
      <c r="BNA1" s="529"/>
      <c r="BNB1" s="529"/>
      <c r="BNC1" s="530"/>
      <c r="BND1" s="529"/>
      <c r="BNE1" s="529"/>
      <c r="BNF1" s="529"/>
      <c r="BNG1" s="529"/>
      <c r="BNH1" s="529"/>
      <c r="BNI1" s="529"/>
      <c r="BNJ1" s="529"/>
      <c r="BNK1" s="530"/>
      <c r="BNL1" s="529"/>
      <c r="BNM1" s="529"/>
      <c r="BNN1" s="529"/>
      <c r="BNO1" s="529"/>
      <c r="BNP1" s="529"/>
      <c r="BNQ1" s="529"/>
      <c r="BNR1" s="529"/>
      <c r="BNS1" s="530"/>
      <c r="BNT1" s="529"/>
      <c r="BNU1" s="529"/>
      <c r="BNV1" s="529"/>
      <c r="BNW1" s="529"/>
      <c r="BNX1" s="529"/>
      <c r="BNY1" s="529"/>
      <c r="BNZ1" s="529"/>
      <c r="BOA1" s="530"/>
      <c r="BOB1" s="529"/>
      <c r="BOC1" s="529"/>
      <c r="BOD1" s="529"/>
      <c r="BOE1" s="529"/>
      <c r="BOF1" s="529"/>
      <c r="BOG1" s="529"/>
      <c r="BOH1" s="529"/>
      <c r="BOI1" s="530"/>
      <c r="BOJ1" s="529"/>
      <c r="BOK1" s="529"/>
      <c r="BOL1" s="529"/>
      <c r="BOM1" s="529"/>
      <c r="BON1" s="529"/>
      <c r="BOO1" s="529"/>
      <c r="BOP1" s="529"/>
      <c r="BOQ1" s="530"/>
      <c r="BOR1" s="529"/>
      <c r="BOS1" s="529"/>
      <c r="BOT1" s="529"/>
      <c r="BOU1" s="529"/>
      <c r="BOV1" s="529"/>
      <c r="BOW1" s="529"/>
      <c r="BOX1" s="529"/>
      <c r="BOY1" s="530"/>
      <c r="BOZ1" s="529"/>
      <c r="BPA1" s="529"/>
      <c r="BPB1" s="529"/>
      <c r="BPC1" s="529"/>
      <c r="BPD1" s="529"/>
      <c r="BPE1" s="529"/>
      <c r="BPF1" s="529"/>
      <c r="BPG1" s="530"/>
      <c r="BPH1" s="529"/>
      <c r="BPI1" s="529"/>
      <c r="BPJ1" s="529"/>
      <c r="BPK1" s="529"/>
      <c r="BPL1" s="529"/>
      <c r="BPM1" s="529"/>
      <c r="BPN1" s="529"/>
      <c r="BPO1" s="530"/>
      <c r="BPP1" s="529"/>
      <c r="BPQ1" s="529"/>
      <c r="BPR1" s="529"/>
      <c r="BPS1" s="529"/>
      <c r="BPT1" s="529"/>
      <c r="BPU1" s="529"/>
      <c r="BPV1" s="529"/>
      <c r="BPW1" s="530"/>
      <c r="BPX1" s="529"/>
      <c r="BPY1" s="529"/>
      <c r="BPZ1" s="529"/>
      <c r="BQA1" s="529"/>
      <c r="BQB1" s="529"/>
      <c r="BQC1" s="529"/>
      <c r="BQD1" s="529"/>
      <c r="BQE1" s="530"/>
      <c r="BQF1" s="529"/>
      <c r="BQG1" s="529"/>
      <c r="BQH1" s="529"/>
      <c r="BQI1" s="529"/>
      <c r="BQJ1" s="529"/>
      <c r="BQK1" s="529"/>
      <c r="BQL1" s="529"/>
      <c r="BQM1" s="530"/>
      <c r="BQN1" s="529"/>
      <c r="BQO1" s="529"/>
      <c r="BQP1" s="529"/>
      <c r="BQQ1" s="529"/>
      <c r="BQR1" s="529"/>
      <c r="BQS1" s="529"/>
      <c r="BQT1" s="529"/>
      <c r="BQU1" s="530"/>
      <c r="BQV1" s="529"/>
      <c r="BQW1" s="529"/>
      <c r="BQX1" s="529"/>
      <c r="BQY1" s="529"/>
      <c r="BQZ1" s="529"/>
      <c r="BRA1" s="529"/>
      <c r="BRB1" s="529"/>
      <c r="BRC1" s="530"/>
      <c r="BRD1" s="529"/>
      <c r="BRE1" s="529"/>
      <c r="BRF1" s="529"/>
      <c r="BRG1" s="529"/>
      <c r="BRH1" s="529"/>
      <c r="BRI1" s="529"/>
      <c r="BRJ1" s="529"/>
      <c r="BRK1" s="530"/>
      <c r="BRL1" s="529"/>
      <c r="BRM1" s="529"/>
      <c r="BRN1" s="529"/>
      <c r="BRO1" s="529"/>
      <c r="BRP1" s="529"/>
      <c r="BRQ1" s="529"/>
      <c r="BRR1" s="529"/>
      <c r="BRS1" s="530"/>
      <c r="BRT1" s="529"/>
      <c r="BRU1" s="529"/>
      <c r="BRV1" s="529"/>
      <c r="BRW1" s="529"/>
      <c r="BRX1" s="529"/>
      <c r="BRY1" s="529"/>
      <c r="BRZ1" s="529"/>
      <c r="BSA1" s="530"/>
      <c r="BSB1" s="529"/>
      <c r="BSC1" s="529"/>
      <c r="BSD1" s="529"/>
      <c r="BSE1" s="529"/>
      <c r="BSF1" s="529"/>
      <c r="BSG1" s="529"/>
      <c r="BSH1" s="529"/>
      <c r="BSI1" s="530"/>
      <c r="BSJ1" s="529"/>
      <c r="BSK1" s="529"/>
      <c r="BSL1" s="529"/>
      <c r="BSM1" s="529"/>
      <c r="BSN1" s="529"/>
      <c r="BSO1" s="529"/>
      <c r="BSP1" s="529"/>
      <c r="BSQ1" s="530"/>
      <c r="BSR1" s="529"/>
      <c r="BSS1" s="529"/>
      <c r="BST1" s="529"/>
      <c r="BSU1" s="529"/>
      <c r="BSV1" s="529"/>
      <c r="BSW1" s="529"/>
      <c r="BSX1" s="529"/>
      <c r="BSY1" s="530"/>
      <c r="BSZ1" s="529"/>
      <c r="BTA1" s="529"/>
      <c r="BTB1" s="529"/>
      <c r="BTC1" s="529"/>
      <c r="BTD1" s="529"/>
      <c r="BTE1" s="529"/>
      <c r="BTF1" s="529"/>
      <c r="BTG1" s="530"/>
      <c r="BTH1" s="529"/>
      <c r="BTI1" s="529"/>
      <c r="BTJ1" s="529"/>
      <c r="BTK1" s="529"/>
      <c r="BTL1" s="529"/>
      <c r="BTM1" s="529"/>
      <c r="BTN1" s="529"/>
      <c r="BTO1" s="530"/>
      <c r="BTP1" s="529"/>
      <c r="BTQ1" s="529"/>
      <c r="BTR1" s="529"/>
      <c r="BTS1" s="529"/>
      <c r="BTT1" s="529"/>
      <c r="BTU1" s="529"/>
      <c r="BTV1" s="529"/>
      <c r="BTW1" s="530"/>
      <c r="BTX1" s="529"/>
      <c r="BTY1" s="529"/>
      <c r="BTZ1" s="529"/>
      <c r="BUA1" s="529"/>
      <c r="BUB1" s="529"/>
      <c r="BUC1" s="529"/>
      <c r="BUD1" s="529"/>
      <c r="BUE1" s="530"/>
      <c r="BUF1" s="529"/>
      <c r="BUG1" s="529"/>
      <c r="BUH1" s="529"/>
      <c r="BUI1" s="529"/>
      <c r="BUJ1" s="529"/>
      <c r="BUK1" s="529"/>
      <c r="BUL1" s="529"/>
      <c r="BUM1" s="530"/>
      <c r="BUN1" s="529"/>
      <c r="BUO1" s="529"/>
      <c r="BUP1" s="529"/>
      <c r="BUQ1" s="529"/>
      <c r="BUR1" s="529"/>
      <c r="BUS1" s="529"/>
      <c r="BUT1" s="529"/>
      <c r="BUU1" s="530"/>
      <c r="BUV1" s="529"/>
      <c r="BUW1" s="529"/>
      <c r="BUX1" s="529"/>
      <c r="BUY1" s="529"/>
      <c r="BUZ1" s="529"/>
      <c r="BVA1" s="529"/>
      <c r="BVB1" s="529"/>
      <c r="BVC1" s="530"/>
      <c r="BVD1" s="529"/>
      <c r="BVE1" s="529"/>
      <c r="BVF1" s="529"/>
      <c r="BVG1" s="529"/>
      <c r="BVH1" s="529"/>
      <c r="BVI1" s="529"/>
      <c r="BVJ1" s="529"/>
      <c r="BVK1" s="530"/>
      <c r="BVL1" s="529"/>
      <c r="BVM1" s="529"/>
      <c r="BVN1" s="529"/>
      <c r="BVO1" s="529"/>
      <c r="BVP1" s="529"/>
      <c r="BVQ1" s="529"/>
      <c r="BVR1" s="529"/>
      <c r="BVS1" s="530"/>
      <c r="BVT1" s="529"/>
      <c r="BVU1" s="529"/>
      <c r="BVV1" s="529"/>
      <c r="BVW1" s="529"/>
      <c r="BVX1" s="529"/>
      <c r="BVY1" s="529"/>
      <c r="BVZ1" s="529"/>
      <c r="BWA1" s="530"/>
      <c r="BWB1" s="529"/>
      <c r="BWC1" s="529"/>
      <c r="BWD1" s="529"/>
      <c r="BWE1" s="529"/>
      <c r="BWF1" s="529"/>
      <c r="BWG1" s="529"/>
      <c r="BWH1" s="529"/>
      <c r="BWI1" s="530"/>
      <c r="BWJ1" s="529"/>
      <c r="BWK1" s="529"/>
      <c r="BWL1" s="529"/>
      <c r="BWM1" s="529"/>
      <c r="BWN1" s="529"/>
      <c r="BWO1" s="529"/>
      <c r="BWP1" s="529"/>
      <c r="BWQ1" s="530"/>
      <c r="BWR1" s="529"/>
      <c r="BWS1" s="529"/>
      <c r="BWT1" s="529"/>
      <c r="BWU1" s="529"/>
      <c r="BWV1" s="529"/>
      <c r="BWW1" s="529"/>
      <c r="BWX1" s="529"/>
      <c r="BWY1" s="530"/>
      <c r="BWZ1" s="529"/>
      <c r="BXA1" s="529"/>
      <c r="BXB1" s="529"/>
      <c r="BXC1" s="529"/>
      <c r="BXD1" s="529"/>
      <c r="BXE1" s="529"/>
      <c r="BXF1" s="529"/>
      <c r="BXG1" s="530"/>
      <c r="BXH1" s="529"/>
      <c r="BXI1" s="529"/>
      <c r="BXJ1" s="529"/>
      <c r="BXK1" s="529"/>
      <c r="BXL1" s="529"/>
      <c r="BXM1" s="529"/>
      <c r="BXN1" s="529"/>
      <c r="BXO1" s="530"/>
      <c r="BXP1" s="529"/>
      <c r="BXQ1" s="529"/>
      <c r="BXR1" s="529"/>
      <c r="BXS1" s="529"/>
      <c r="BXT1" s="529"/>
      <c r="BXU1" s="529"/>
      <c r="BXV1" s="529"/>
      <c r="BXW1" s="530"/>
      <c r="BXX1" s="529"/>
      <c r="BXY1" s="529"/>
      <c r="BXZ1" s="529"/>
      <c r="BYA1" s="529"/>
      <c r="BYB1" s="529"/>
      <c r="BYC1" s="529"/>
      <c r="BYD1" s="529"/>
      <c r="BYE1" s="530"/>
      <c r="BYF1" s="529"/>
      <c r="BYG1" s="529"/>
      <c r="BYH1" s="529"/>
      <c r="BYI1" s="529"/>
      <c r="BYJ1" s="529"/>
      <c r="BYK1" s="529"/>
      <c r="BYL1" s="529"/>
      <c r="BYM1" s="530"/>
      <c r="BYN1" s="529"/>
      <c r="BYO1" s="529"/>
      <c r="BYP1" s="529"/>
      <c r="BYQ1" s="529"/>
      <c r="BYR1" s="529"/>
      <c r="BYS1" s="529"/>
      <c r="BYT1" s="529"/>
      <c r="BYU1" s="530"/>
      <c r="BYV1" s="529"/>
      <c r="BYW1" s="529"/>
      <c r="BYX1" s="529"/>
      <c r="BYY1" s="529"/>
      <c r="BYZ1" s="529"/>
      <c r="BZA1" s="529"/>
      <c r="BZB1" s="529"/>
      <c r="BZC1" s="530"/>
      <c r="BZD1" s="529"/>
      <c r="BZE1" s="529"/>
      <c r="BZF1" s="529"/>
      <c r="BZG1" s="529"/>
      <c r="BZH1" s="529"/>
      <c r="BZI1" s="529"/>
      <c r="BZJ1" s="529"/>
      <c r="BZK1" s="530"/>
      <c r="BZL1" s="529"/>
      <c r="BZM1" s="529"/>
      <c r="BZN1" s="529"/>
      <c r="BZO1" s="529"/>
      <c r="BZP1" s="529"/>
      <c r="BZQ1" s="529"/>
      <c r="BZR1" s="529"/>
      <c r="BZS1" s="530"/>
      <c r="BZT1" s="529"/>
      <c r="BZU1" s="529"/>
      <c r="BZV1" s="529"/>
      <c r="BZW1" s="529"/>
      <c r="BZX1" s="529"/>
      <c r="BZY1" s="529"/>
      <c r="BZZ1" s="529"/>
      <c r="CAA1" s="530"/>
      <c r="CAB1" s="529"/>
      <c r="CAC1" s="529"/>
      <c r="CAD1" s="529"/>
      <c r="CAE1" s="529"/>
      <c r="CAF1" s="529"/>
      <c r="CAG1" s="529"/>
      <c r="CAH1" s="529"/>
      <c r="CAI1" s="530"/>
      <c r="CAJ1" s="529"/>
      <c r="CAK1" s="529"/>
      <c r="CAL1" s="529"/>
      <c r="CAM1" s="529"/>
      <c r="CAN1" s="529"/>
      <c r="CAO1" s="529"/>
      <c r="CAP1" s="529"/>
      <c r="CAQ1" s="530"/>
      <c r="CAR1" s="529"/>
      <c r="CAS1" s="529"/>
      <c r="CAT1" s="529"/>
      <c r="CAU1" s="529"/>
      <c r="CAV1" s="529"/>
      <c r="CAW1" s="529"/>
      <c r="CAX1" s="529"/>
      <c r="CAY1" s="530"/>
      <c r="CAZ1" s="529"/>
      <c r="CBA1" s="529"/>
      <c r="CBB1" s="529"/>
      <c r="CBC1" s="529"/>
      <c r="CBD1" s="529"/>
      <c r="CBE1" s="529"/>
      <c r="CBF1" s="529"/>
      <c r="CBG1" s="530"/>
      <c r="CBH1" s="529"/>
      <c r="CBI1" s="529"/>
      <c r="CBJ1" s="529"/>
      <c r="CBK1" s="529"/>
      <c r="CBL1" s="529"/>
      <c r="CBM1" s="529"/>
      <c r="CBN1" s="529"/>
      <c r="CBO1" s="530"/>
      <c r="CBP1" s="529"/>
      <c r="CBQ1" s="529"/>
      <c r="CBR1" s="529"/>
      <c r="CBS1" s="529"/>
      <c r="CBT1" s="529"/>
      <c r="CBU1" s="529"/>
      <c r="CBV1" s="529"/>
      <c r="CBW1" s="530"/>
      <c r="CBX1" s="529"/>
      <c r="CBY1" s="529"/>
      <c r="CBZ1" s="529"/>
      <c r="CCA1" s="529"/>
      <c r="CCB1" s="529"/>
      <c r="CCC1" s="529"/>
      <c r="CCD1" s="529"/>
      <c r="CCE1" s="530"/>
      <c r="CCF1" s="529"/>
      <c r="CCG1" s="529"/>
      <c r="CCH1" s="529"/>
      <c r="CCI1" s="529"/>
      <c r="CCJ1" s="529"/>
      <c r="CCK1" s="529"/>
      <c r="CCL1" s="529"/>
      <c r="CCM1" s="530"/>
      <c r="CCN1" s="529"/>
      <c r="CCO1" s="529"/>
      <c r="CCP1" s="529"/>
      <c r="CCQ1" s="529"/>
      <c r="CCR1" s="529"/>
      <c r="CCS1" s="529"/>
      <c r="CCT1" s="529"/>
      <c r="CCU1" s="530"/>
      <c r="CCV1" s="529"/>
      <c r="CCW1" s="529"/>
      <c r="CCX1" s="529"/>
      <c r="CCY1" s="529"/>
      <c r="CCZ1" s="529"/>
      <c r="CDA1" s="529"/>
      <c r="CDB1" s="529"/>
      <c r="CDC1" s="530"/>
      <c r="CDD1" s="529"/>
      <c r="CDE1" s="529"/>
      <c r="CDF1" s="529"/>
      <c r="CDG1" s="529"/>
      <c r="CDH1" s="529"/>
      <c r="CDI1" s="529"/>
      <c r="CDJ1" s="529"/>
      <c r="CDK1" s="530"/>
      <c r="CDL1" s="529"/>
      <c r="CDM1" s="529"/>
      <c r="CDN1" s="529"/>
      <c r="CDO1" s="529"/>
      <c r="CDP1" s="529"/>
      <c r="CDQ1" s="529"/>
      <c r="CDR1" s="529"/>
      <c r="CDS1" s="530"/>
      <c r="CDT1" s="529"/>
      <c r="CDU1" s="529"/>
      <c r="CDV1" s="529"/>
      <c r="CDW1" s="529"/>
      <c r="CDX1" s="529"/>
      <c r="CDY1" s="529"/>
      <c r="CDZ1" s="529"/>
      <c r="CEA1" s="530"/>
      <c r="CEB1" s="529"/>
      <c r="CEC1" s="529"/>
      <c r="CED1" s="529"/>
      <c r="CEE1" s="529"/>
      <c r="CEF1" s="529"/>
      <c r="CEG1" s="529"/>
      <c r="CEH1" s="529"/>
      <c r="CEI1" s="530"/>
      <c r="CEJ1" s="529"/>
      <c r="CEK1" s="529"/>
      <c r="CEL1" s="529"/>
      <c r="CEM1" s="529"/>
      <c r="CEN1" s="529"/>
      <c r="CEO1" s="529"/>
      <c r="CEP1" s="529"/>
      <c r="CEQ1" s="530"/>
      <c r="CER1" s="529"/>
      <c r="CES1" s="529"/>
      <c r="CET1" s="529"/>
      <c r="CEU1" s="529"/>
      <c r="CEV1" s="529"/>
      <c r="CEW1" s="529"/>
      <c r="CEX1" s="529"/>
      <c r="CEY1" s="530"/>
      <c r="CEZ1" s="529"/>
      <c r="CFA1" s="529"/>
      <c r="CFB1" s="529"/>
      <c r="CFC1" s="529"/>
      <c r="CFD1" s="529"/>
      <c r="CFE1" s="529"/>
      <c r="CFF1" s="529"/>
      <c r="CFG1" s="530"/>
      <c r="CFH1" s="529"/>
      <c r="CFI1" s="529"/>
      <c r="CFJ1" s="529"/>
      <c r="CFK1" s="529"/>
      <c r="CFL1" s="529"/>
      <c r="CFM1" s="529"/>
      <c r="CFN1" s="529"/>
      <c r="CFO1" s="530"/>
      <c r="CFP1" s="529"/>
      <c r="CFQ1" s="529"/>
      <c r="CFR1" s="529"/>
      <c r="CFS1" s="529"/>
      <c r="CFT1" s="529"/>
      <c r="CFU1" s="529"/>
      <c r="CFV1" s="529"/>
      <c r="CFW1" s="530"/>
      <c r="CFX1" s="529"/>
      <c r="CFY1" s="529"/>
      <c r="CFZ1" s="529"/>
      <c r="CGA1" s="529"/>
      <c r="CGB1" s="529"/>
      <c r="CGC1" s="529"/>
      <c r="CGD1" s="529"/>
      <c r="CGE1" s="530"/>
      <c r="CGF1" s="529"/>
      <c r="CGG1" s="529"/>
      <c r="CGH1" s="529"/>
      <c r="CGI1" s="529"/>
      <c r="CGJ1" s="529"/>
      <c r="CGK1" s="529"/>
      <c r="CGL1" s="529"/>
      <c r="CGM1" s="530"/>
      <c r="CGN1" s="529"/>
      <c r="CGO1" s="529"/>
      <c r="CGP1" s="529"/>
      <c r="CGQ1" s="529"/>
      <c r="CGR1" s="529"/>
      <c r="CGS1" s="529"/>
      <c r="CGT1" s="529"/>
      <c r="CGU1" s="530"/>
      <c r="CGV1" s="529"/>
      <c r="CGW1" s="529"/>
      <c r="CGX1" s="529"/>
      <c r="CGY1" s="529"/>
      <c r="CGZ1" s="529"/>
      <c r="CHA1" s="529"/>
      <c r="CHB1" s="529"/>
      <c r="CHC1" s="530"/>
      <c r="CHD1" s="529"/>
      <c r="CHE1" s="529"/>
      <c r="CHF1" s="529"/>
      <c r="CHG1" s="529"/>
      <c r="CHH1" s="529"/>
      <c r="CHI1" s="529"/>
      <c r="CHJ1" s="529"/>
      <c r="CHK1" s="530"/>
      <c r="CHL1" s="529"/>
      <c r="CHM1" s="529"/>
      <c r="CHN1" s="529"/>
      <c r="CHO1" s="529"/>
      <c r="CHP1" s="529"/>
      <c r="CHQ1" s="529"/>
      <c r="CHR1" s="529"/>
      <c r="CHS1" s="530"/>
      <c r="CHT1" s="529"/>
      <c r="CHU1" s="529"/>
      <c r="CHV1" s="529"/>
      <c r="CHW1" s="529"/>
      <c r="CHX1" s="529"/>
      <c r="CHY1" s="529"/>
      <c r="CHZ1" s="529"/>
      <c r="CIA1" s="530"/>
      <c r="CIB1" s="529"/>
      <c r="CIC1" s="529"/>
      <c r="CID1" s="529"/>
      <c r="CIE1" s="529"/>
      <c r="CIF1" s="529"/>
      <c r="CIG1" s="529"/>
      <c r="CIH1" s="529"/>
      <c r="CII1" s="530"/>
      <c r="CIJ1" s="529"/>
      <c r="CIK1" s="529"/>
      <c r="CIL1" s="529"/>
      <c r="CIM1" s="529"/>
      <c r="CIN1" s="529"/>
      <c r="CIO1" s="529"/>
      <c r="CIP1" s="529"/>
      <c r="CIQ1" s="530"/>
      <c r="CIR1" s="529"/>
      <c r="CIS1" s="529"/>
      <c r="CIT1" s="529"/>
      <c r="CIU1" s="529"/>
      <c r="CIV1" s="529"/>
      <c r="CIW1" s="529"/>
      <c r="CIX1" s="529"/>
      <c r="CIY1" s="530"/>
      <c r="CIZ1" s="529"/>
      <c r="CJA1" s="529"/>
      <c r="CJB1" s="529"/>
      <c r="CJC1" s="529"/>
      <c r="CJD1" s="529"/>
      <c r="CJE1" s="529"/>
      <c r="CJF1" s="529"/>
      <c r="CJG1" s="530"/>
      <c r="CJH1" s="529"/>
      <c r="CJI1" s="529"/>
      <c r="CJJ1" s="529"/>
      <c r="CJK1" s="529"/>
      <c r="CJL1" s="529"/>
      <c r="CJM1" s="529"/>
      <c r="CJN1" s="529"/>
      <c r="CJO1" s="530"/>
      <c r="CJP1" s="529"/>
      <c r="CJQ1" s="529"/>
      <c r="CJR1" s="529"/>
      <c r="CJS1" s="529"/>
      <c r="CJT1" s="529"/>
      <c r="CJU1" s="529"/>
      <c r="CJV1" s="529"/>
      <c r="CJW1" s="530"/>
      <c r="CJX1" s="529"/>
      <c r="CJY1" s="529"/>
      <c r="CJZ1" s="529"/>
      <c r="CKA1" s="529"/>
      <c r="CKB1" s="529"/>
      <c r="CKC1" s="529"/>
      <c r="CKD1" s="529"/>
      <c r="CKE1" s="530"/>
      <c r="CKF1" s="529"/>
      <c r="CKG1" s="529"/>
      <c r="CKH1" s="529"/>
      <c r="CKI1" s="529"/>
      <c r="CKJ1" s="529"/>
      <c r="CKK1" s="529"/>
      <c r="CKL1" s="529"/>
      <c r="CKM1" s="530"/>
      <c r="CKN1" s="529"/>
      <c r="CKO1" s="529"/>
      <c r="CKP1" s="529"/>
      <c r="CKQ1" s="529"/>
      <c r="CKR1" s="529"/>
      <c r="CKS1" s="529"/>
      <c r="CKT1" s="529"/>
      <c r="CKU1" s="530"/>
      <c r="CKV1" s="529"/>
      <c r="CKW1" s="529"/>
      <c r="CKX1" s="529"/>
      <c r="CKY1" s="529"/>
      <c r="CKZ1" s="529"/>
      <c r="CLA1" s="529"/>
      <c r="CLB1" s="529"/>
      <c r="CLC1" s="530"/>
      <c r="CLD1" s="529"/>
      <c r="CLE1" s="529"/>
      <c r="CLF1" s="529"/>
      <c r="CLG1" s="529"/>
      <c r="CLH1" s="529"/>
      <c r="CLI1" s="529"/>
      <c r="CLJ1" s="529"/>
      <c r="CLK1" s="530"/>
      <c r="CLL1" s="529"/>
      <c r="CLM1" s="529"/>
      <c r="CLN1" s="529"/>
      <c r="CLO1" s="529"/>
      <c r="CLP1" s="529"/>
      <c r="CLQ1" s="529"/>
      <c r="CLR1" s="529"/>
      <c r="CLS1" s="530"/>
      <c r="CLT1" s="529"/>
      <c r="CLU1" s="529"/>
      <c r="CLV1" s="529"/>
      <c r="CLW1" s="529"/>
      <c r="CLX1" s="529"/>
      <c r="CLY1" s="529"/>
      <c r="CLZ1" s="529"/>
      <c r="CMA1" s="530"/>
      <c r="CMB1" s="529"/>
      <c r="CMC1" s="529"/>
      <c r="CMD1" s="529"/>
      <c r="CME1" s="529"/>
      <c r="CMF1" s="529"/>
      <c r="CMG1" s="529"/>
      <c r="CMH1" s="529"/>
      <c r="CMI1" s="530"/>
      <c r="CMJ1" s="529"/>
      <c r="CMK1" s="529"/>
      <c r="CML1" s="529"/>
      <c r="CMM1" s="529"/>
      <c r="CMN1" s="529"/>
      <c r="CMO1" s="529"/>
      <c r="CMP1" s="529"/>
      <c r="CMQ1" s="530"/>
      <c r="CMR1" s="529"/>
      <c r="CMS1" s="529"/>
      <c r="CMT1" s="529"/>
      <c r="CMU1" s="529"/>
      <c r="CMV1" s="529"/>
      <c r="CMW1" s="529"/>
      <c r="CMX1" s="529"/>
      <c r="CMY1" s="530"/>
      <c r="CMZ1" s="529"/>
      <c r="CNA1" s="529"/>
      <c r="CNB1" s="529"/>
      <c r="CNC1" s="529"/>
      <c r="CND1" s="529"/>
      <c r="CNE1" s="529"/>
      <c r="CNF1" s="529"/>
      <c r="CNG1" s="530"/>
      <c r="CNH1" s="529"/>
      <c r="CNI1" s="529"/>
      <c r="CNJ1" s="529"/>
      <c r="CNK1" s="529"/>
      <c r="CNL1" s="529"/>
      <c r="CNM1" s="529"/>
      <c r="CNN1" s="529"/>
      <c r="CNO1" s="530"/>
      <c r="CNP1" s="529"/>
      <c r="CNQ1" s="529"/>
      <c r="CNR1" s="529"/>
      <c r="CNS1" s="529"/>
      <c r="CNT1" s="529"/>
      <c r="CNU1" s="529"/>
      <c r="CNV1" s="529"/>
      <c r="CNW1" s="530"/>
      <c r="CNX1" s="529"/>
      <c r="CNY1" s="529"/>
      <c r="CNZ1" s="529"/>
      <c r="COA1" s="529"/>
      <c r="COB1" s="529"/>
      <c r="COC1" s="529"/>
      <c r="COD1" s="529"/>
      <c r="COE1" s="530"/>
      <c r="COF1" s="529"/>
      <c r="COG1" s="529"/>
      <c r="COH1" s="529"/>
      <c r="COI1" s="529"/>
      <c r="COJ1" s="529"/>
      <c r="COK1" s="529"/>
      <c r="COL1" s="529"/>
      <c r="COM1" s="530"/>
      <c r="CON1" s="529"/>
      <c r="COO1" s="529"/>
      <c r="COP1" s="529"/>
      <c r="COQ1" s="529"/>
      <c r="COR1" s="529"/>
      <c r="COS1" s="529"/>
      <c r="COT1" s="529"/>
      <c r="COU1" s="530"/>
      <c r="COV1" s="529"/>
      <c r="COW1" s="529"/>
      <c r="COX1" s="529"/>
      <c r="COY1" s="529"/>
      <c r="COZ1" s="529"/>
      <c r="CPA1" s="529"/>
      <c r="CPB1" s="529"/>
      <c r="CPC1" s="530"/>
      <c r="CPD1" s="529"/>
      <c r="CPE1" s="529"/>
      <c r="CPF1" s="529"/>
      <c r="CPG1" s="529"/>
      <c r="CPH1" s="529"/>
      <c r="CPI1" s="529"/>
      <c r="CPJ1" s="529"/>
      <c r="CPK1" s="530"/>
      <c r="CPL1" s="529"/>
      <c r="CPM1" s="529"/>
      <c r="CPN1" s="529"/>
      <c r="CPO1" s="529"/>
      <c r="CPP1" s="529"/>
      <c r="CPQ1" s="529"/>
      <c r="CPR1" s="529"/>
      <c r="CPS1" s="530"/>
      <c r="CPT1" s="529"/>
      <c r="CPU1" s="529"/>
      <c r="CPV1" s="529"/>
      <c r="CPW1" s="529"/>
      <c r="CPX1" s="529"/>
      <c r="CPY1" s="529"/>
      <c r="CPZ1" s="529"/>
      <c r="CQA1" s="530"/>
      <c r="CQB1" s="529"/>
      <c r="CQC1" s="529"/>
      <c r="CQD1" s="529"/>
      <c r="CQE1" s="529"/>
      <c r="CQF1" s="529"/>
      <c r="CQG1" s="529"/>
      <c r="CQH1" s="529"/>
      <c r="CQI1" s="530"/>
      <c r="CQJ1" s="529"/>
      <c r="CQK1" s="529"/>
      <c r="CQL1" s="529"/>
      <c r="CQM1" s="529"/>
      <c r="CQN1" s="529"/>
      <c r="CQO1" s="529"/>
      <c r="CQP1" s="529"/>
      <c r="CQQ1" s="530"/>
      <c r="CQR1" s="529"/>
      <c r="CQS1" s="529"/>
      <c r="CQT1" s="529"/>
      <c r="CQU1" s="529"/>
      <c r="CQV1" s="529"/>
      <c r="CQW1" s="529"/>
      <c r="CQX1" s="529"/>
      <c r="CQY1" s="530"/>
      <c r="CQZ1" s="529"/>
      <c r="CRA1" s="529"/>
      <c r="CRB1" s="529"/>
      <c r="CRC1" s="529"/>
      <c r="CRD1" s="529"/>
      <c r="CRE1" s="529"/>
      <c r="CRF1" s="529"/>
      <c r="CRG1" s="530"/>
      <c r="CRH1" s="529"/>
      <c r="CRI1" s="529"/>
      <c r="CRJ1" s="529"/>
      <c r="CRK1" s="529"/>
      <c r="CRL1" s="529"/>
      <c r="CRM1" s="529"/>
      <c r="CRN1" s="529"/>
      <c r="CRO1" s="530"/>
      <c r="CRP1" s="529"/>
      <c r="CRQ1" s="529"/>
      <c r="CRR1" s="529"/>
      <c r="CRS1" s="529"/>
      <c r="CRT1" s="529"/>
      <c r="CRU1" s="529"/>
      <c r="CRV1" s="529"/>
      <c r="CRW1" s="530"/>
      <c r="CRX1" s="529"/>
      <c r="CRY1" s="529"/>
      <c r="CRZ1" s="529"/>
      <c r="CSA1" s="529"/>
      <c r="CSB1" s="529"/>
      <c r="CSC1" s="529"/>
      <c r="CSD1" s="529"/>
      <c r="CSE1" s="530"/>
      <c r="CSF1" s="529"/>
      <c r="CSG1" s="529"/>
      <c r="CSH1" s="529"/>
      <c r="CSI1" s="529"/>
      <c r="CSJ1" s="529"/>
      <c r="CSK1" s="529"/>
      <c r="CSL1" s="529"/>
      <c r="CSM1" s="530"/>
      <c r="CSN1" s="529"/>
      <c r="CSO1" s="529"/>
      <c r="CSP1" s="529"/>
      <c r="CSQ1" s="529"/>
      <c r="CSR1" s="529"/>
      <c r="CSS1" s="529"/>
      <c r="CST1" s="529"/>
      <c r="CSU1" s="530"/>
      <c r="CSV1" s="529"/>
      <c r="CSW1" s="529"/>
      <c r="CSX1" s="529"/>
      <c r="CSY1" s="529"/>
      <c r="CSZ1" s="529"/>
      <c r="CTA1" s="529"/>
      <c r="CTB1" s="529"/>
      <c r="CTC1" s="530"/>
      <c r="CTD1" s="529"/>
      <c r="CTE1" s="529"/>
      <c r="CTF1" s="529"/>
      <c r="CTG1" s="529"/>
      <c r="CTH1" s="529"/>
      <c r="CTI1" s="529"/>
      <c r="CTJ1" s="529"/>
      <c r="CTK1" s="530"/>
      <c r="CTL1" s="529"/>
      <c r="CTM1" s="529"/>
      <c r="CTN1" s="529"/>
      <c r="CTO1" s="529"/>
      <c r="CTP1" s="529"/>
      <c r="CTQ1" s="529"/>
      <c r="CTR1" s="529"/>
      <c r="CTS1" s="530"/>
      <c r="CTT1" s="529"/>
      <c r="CTU1" s="529"/>
      <c r="CTV1" s="529"/>
      <c r="CTW1" s="529"/>
      <c r="CTX1" s="529"/>
      <c r="CTY1" s="529"/>
      <c r="CTZ1" s="529"/>
      <c r="CUA1" s="530"/>
      <c r="CUB1" s="529"/>
      <c r="CUC1" s="529"/>
      <c r="CUD1" s="529"/>
      <c r="CUE1" s="529"/>
      <c r="CUF1" s="529"/>
      <c r="CUG1" s="529"/>
      <c r="CUH1" s="529"/>
      <c r="CUI1" s="530"/>
      <c r="CUJ1" s="529"/>
      <c r="CUK1" s="529"/>
      <c r="CUL1" s="529"/>
      <c r="CUM1" s="529"/>
      <c r="CUN1" s="529"/>
      <c r="CUO1" s="529"/>
      <c r="CUP1" s="529"/>
      <c r="CUQ1" s="530"/>
      <c r="CUR1" s="529"/>
      <c r="CUS1" s="529"/>
      <c r="CUT1" s="529"/>
      <c r="CUU1" s="529"/>
      <c r="CUV1" s="529"/>
      <c r="CUW1" s="529"/>
      <c r="CUX1" s="529"/>
      <c r="CUY1" s="530"/>
      <c r="CUZ1" s="529"/>
      <c r="CVA1" s="529"/>
      <c r="CVB1" s="529"/>
      <c r="CVC1" s="529"/>
      <c r="CVD1" s="529"/>
      <c r="CVE1" s="529"/>
      <c r="CVF1" s="529"/>
      <c r="CVG1" s="530"/>
      <c r="CVH1" s="529"/>
      <c r="CVI1" s="529"/>
      <c r="CVJ1" s="529"/>
      <c r="CVK1" s="529"/>
      <c r="CVL1" s="529"/>
      <c r="CVM1" s="529"/>
      <c r="CVN1" s="529"/>
      <c r="CVO1" s="530"/>
      <c r="CVP1" s="529"/>
      <c r="CVQ1" s="529"/>
      <c r="CVR1" s="529"/>
      <c r="CVS1" s="529"/>
      <c r="CVT1" s="529"/>
      <c r="CVU1" s="529"/>
      <c r="CVV1" s="529"/>
      <c r="CVW1" s="530"/>
      <c r="CVX1" s="529"/>
      <c r="CVY1" s="529"/>
      <c r="CVZ1" s="529"/>
      <c r="CWA1" s="529"/>
      <c r="CWB1" s="529"/>
      <c r="CWC1" s="529"/>
      <c r="CWD1" s="529"/>
      <c r="CWE1" s="530"/>
      <c r="CWF1" s="529"/>
      <c r="CWG1" s="529"/>
      <c r="CWH1" s="529"/>
      <c r="CWI1" s="529"/>
      <c r="CWJ1" s="529"/>
      <c r="CWK1" s="529"/>
      <c r="CWL1" s="529"/>
      <c r="CWM1" s="530"/>
      <c r="CWN1" s="529"/>
      <c r="CWO1" s="529"/>
      <c r="CWP1" s="529"/>
      <c r="CWQ1" s="529"/>
      <c r="CWR1" s="529"/>
      <c r="CWS1" s="529"/>
      <c r="CWT1" s="529"/>
      <c r="CWU1" s="530"/>
      <c r="CWV1" s="529"/>
      <c r="CWW1" s="529"/>
      <c r="CWX1" s="529"/>
      <c r="CWY1" s="529"/>
      <c r="CWZ1" s="529"/>
      <c r="CXA1" s="529"/>
      <c r="CXB1" s="529"/>
      <c r="CXC1" s="530"/>
      <c r="CXD1" s="529"/>
      <c r="CXE1" s="529"/>
      <c r="CXF1" s="529"/>
      <c r="CXG1" s="529"/>
      <c r="CXH1" s="529"/>
      <c r="CXI1" s="529"/>
      <c r="CXJ1" s="529"/>
      <c r="CXK1" s="530"/>
      <c r="CXL1" s="529"/>
      <c r="CXM1" s="529"/>
      <c r="CXN1" s="529"/>
      <c r="CXO1" s="529"/>
      <c r="CXP1" s="529"/>
      <c r="CXQ1" s="529"/>
      <c r="CXR1" s="529"/>
      <c r="CXS1" s="530"/>
      <c r="CXT1" s="529"/>
      <c r="CXU1" s="529"/>
      <c r="CXV1" s="529"/>
      <c r="CXW1" s="529"/>
      <c r="CXX1" s="529"/>
      <c r="CXY1" s="529"/>
      <c r="CXZ1" s="529"/>
      <c r="CYA1" s="530"/>
      <c r="CYB1" s="529"/>
      <c r="CYC1" s="529"/>
      <c r="CYD1" s="529"/>
      <c r="CYE1" s="529"/>
      <c r="CYF1" s="529"/>
      <c r="CYG1" s="529"/>
      <c r="CYH1" s="529"/>
      <c r="CYI1" s="530"/>
      <c r="CYJ1" s="529"/>
      <c r="CYK1" s="529"/>
      <c r="CYL1" s="529"/>
      <c r="CYM1" s="529"/>
      <c r="CYN1" s="529"/>
      <c r="CYO1" s="529"/>
      <c r="CYP1" s="529"/>
      <c r="CYQ1" s="530"/>
      <c r="CYR1" s="529"/>
      <c r="CYS1" s="529"/>
      <c r="CYT1" s="529"/>
      <c r="CYU1" s="529"/>
      <c r="CYV1" s="529"/>
      <c r="CYW1" s="529"/>
      <c r="CYX1" s="529"/>
      <c r="CYY1" s="530"/>
      <c r="CYZ1" s="529"/>
      <c r="CZA1" s="529"/>
      <c r="CZB1" s="529"/>
      <c r="CZC1" s="529"/>
      <c r="CZD1" s="529"/>
      <c r="CZE1" s="529"/>
      <c r="CZF1" s="529"/>
      <c r="CZG1" s="530"/>
      <c r="CZH1" s="529"/>
      <c r="CZI1" s="529"/>
      <c r="CZJ1" s="529"/>
      <c r="CZK1" s="529"/>
      <c r="CZL1" s="529"/>
      <c r="CZM1" s="529"/>
      <c r="CZN1" s="529"/>
      <c r="CZO1" s="530"/>
      <c r="CZP1" s="529"/>
      <c r="CZQ1" s="529"/>
      <c r="CZR1" s="529"/>
      <c r="CZS1" s="529"/>
      <c r="CZT1" s="529"/>
      <c r="CZU1" s="529"/>
      <c r="CZV1" s="529"/>
      <c r="CZW1" s="530"/>
      <c r="CZX1" s="529"/>
      <c r="CZY1" s="529"/>
      <c r="CZZ1" s="529"/>
      <c r="DAA1" s="529"/>
      <c r="DAB1" s="529"/>
      <c r="DAC1" s="529"/>
      <c r="DAD1" s="529"/>
      <c r="DAE1" s="530"/>
      <c r="DAF1" s="529"/>
      <c r="DAG1" s="529"/>
      <c r="DAH1" s="529"/>
      <c r="DAI1" s="529"/>
      <c r="DAJ1" s="529"/>
      <c r="DAK1" s="529"/>
      <c r="DAL1" s="529"/>
      <c r="DAM1" s="530"/>
      <c r="DAN1" s="529"/>
      <c r="DAO1" s="529"/>
      <c r="DAP1" s="529"/>
      <c r="DAQ1" s="529"/>
      <c r="DAR1" s="529"/>
      <c r="DAS1" s="529"/>
      <c r="DAT1" s="529"/>
      <c r="DAU1" s="530"/>
      <c r="DAV1" s="529"/>
      <c r="DAW1" s="529"/>
      <c r="DAX1" s="529"/>
      <c r="DAY1" s="529"/>
      <c r="DAZ1" s="529"/>
      <c r="DBA1" s="529"/>
      <c r="DBB1" s="529"/>
      <c r="DBC1" s="530"/>
      <c r="DBD1" s="529"/>
      <c r="DBE1" s="529"/>
      <c r="DBF1" s="529"/>
      <c r="DBG1" s="529"/>
      <c r="DBH1" s="529"/>
      <c r="DBI1" s="529"/>
      <c r="DBJ1" s="529"/>
      <c r="DBK1" s="530"/>
      <c r="DBL1" s="529"/>
      <c r="DBM1" s="529"/>
      <c r="DBN1" s="529"/>
      <c r="DBO1" s="529"/>
      <c r="DBP1" s="529"/>
      <c r="DBQ1" s="529"/>
      <c r="DBR1" s="529"/>
      <c r="DBS1" s="530"/>
      <c r="DBT1" s="529"/>
      <c r="DBU1" s="529"/>
      <c r="DBV1" s="529"/>
      <c r="DBW1" s="529"/>
      <c r="DBX1" s="529"/>
      <c r="DBY1" s="529"/>
      <c r="DBZ1" s="529"/>
      <c r="DCA1" s="530"/>
      <c r="DCB1" s="529"/>
      <c r="DCC1" s="529"/>
      <c r="DCD1" s="529"/>
      <c r="DCE1" s="529"/>
      <c r="DCF1" s="529"/>
      <c r="DCG1" s="529"/>
      <c r="DCH1" s="529"/>
      <c r="DCI1" s="530"/>
      <c r="DCJ1" s="529"/>
      <c r="DCK1" s="529"/>
      <c r="DCL1" s="529"/>
      <c r="DCM1" s="529"/>
      <c r="DCN1" s="529"/>
      <c r="DCO1" s="529"/>
      <c r="DCP1" s="529"/>
      <c r="DCQ1" s="530"/>
      <c r="DCR1" s="529"/>
      <c r="DCS1" s="529"/>
      <c r="DCT1" s="529"/>
      <c r="DCU1" s="529"/>
      <c r="DCV1" s="529"/>
      <c r="DCW1" s="529"/>
      <c r="DCX1" s="529"/>
      <c r="DCY1" s="530"/>
      <c r="DCZ1" s="529"/>
      <c r="DDA1" s="529"/>
      <c r="DDB1" s="529"/>
      <c r="DDC1" s="529"/>
      <c r="DDD1" s="529"/>
      <c r="DDE1" s="529"/>
      <c r="DDF1" s="529"/>
      <c r="DDG1" s="530"/>
      <c r="DDH1" s="529"/>
      <c r="DDI1" s="529"/>
      <c r="DDJ1" s="529"/>
      <c r="DDK1" s="529"/>
      <c r="DDL1" s="529"/>
      <c r="DDM1" s="529"/>
      <c r="DDN1" s="529"/>
      <c r="DDO1" s="530"/>
      <c r="DDP1" s="529"/>
      <c r="DDQ1" s="529"/>
      <c r="DDR1" s="529"/>
      <c r="DDS1" s="529"/>
      <c r="DDT1" s="529"/>
      <c r="DDU1" s="529"/>
      <c r="DDV1" s="529"/>
      <c r="DDW1" s="530"/>
      <c r="DDX1" s="529"/>
      <c r="DDY1" s="529"/>
      <c r="DDZ1" s="529"/>
      <c r="DEA1" s="529"/>
      <c r="DEB1" s="529"/>
      <c r="DEC1" s="529"/>
      <c r="DED1" s="529"/>
      <c r="DEE1" s="530"/>
      <c r="DEF1" s="529"/>
      <c r="DEG1" s="529"/>
      <c r="DEH1" s="529"/>
      <c r="DEI1" s="529"/>
      <c r="DEJ1" s="529"/>
      <c r="DEK1" s="529"/>
      <c r="DEL1" s="529"/>
      <c r="DEM1" s="530"/>
      <c r="DEN1" s="529"/>
      <c r="DEO1" s="529"/>
      <c r="DEP1" s="529"/>
      <c r="DEQ1" s="529"/>
      <c r="DER1" s="529"/>
      <c r="DES1" s="529"/>
      <c r="DET1" s="529"/>
      <c r="DEU1" s="530"/>
      <c r="DEV1" s="529"/>
      <c r="DEW1" s="529"/>
      <c r="DEX1" s="529"/>
      <c r="DEY1" s="529"/>
      <c r="DEZ1" s="529"/>
      <c r="DFA1" s="529"/>
      <c r="DFB1" s="529"/>
      <c r="DFC1" s="530"/>
      <c r="DFD1" s="529"/>
      <c r="DFE1" s="529"/>
      <c r="DFF1" s="529"/>
      <c r="DFG1" s="529"/>
      <c r="DFH1" s="529"/>
      <c r="DFI1" s="529"/>
      <c r="DFJ1" s="529"/>
      <c r="DFK1" s="530"/>
      <c r="DFL1" s="529"/>
      <c r="DFM1" s="529"/>
      <c r="DFN1" s="529"/>
      <c r="DFO1" s="529"/>
      <c r="DFP1" s="529"/>
      <c r="DFQ1" s="529"/>
      <c r="DFR1" s="529"/>
      <c r="DFS1" s="530"/>
      <c r="DFT1" s="529"/>
      <c r="DFU1" s="529"/>
      <c r="DFV1" s="529"/>
      <c r="DFW1" s="529"/>
      <c r="DFX1" s="529"/>
      <c r="DFY1" s="529"/>
      <c r="DFZ1" s="529"/>
      <c r="DGA1" s="530"/>
      <c r="DGB1" s="529"/>
      <c r="DGC1" s="529"/>
      <c r="DGD1" s="529"/>
      <c r="DGE1" s="529"/>
      <c r="DGF1" s="529"/>
      <c r="DGG1" s="529"/>
      <c r="DGH1" s="529"/>
      <c r="DGI1" s="530"/>
      <c r="DGJ1" s="529"/>
      <c r="DGK1" s="529"/>
      <c r="DGL1" s="529"/>
      <c r="DGM1" s="529"/>
      <c r="DGN1" s="529"/>
      <c r="DGO1" s="529"/>
      <c r="DGP1" s="529"/>
      <c r="DGQ1" s="530"/>
      <c r="DGR1" s="529"/>
      <c r="DGS1" s="529"/>
      <c r="DGT1" s="529"/>
      <c r="DGU1" s="529"/>
      <c r="DGV1" s="529"/>
      <c r="DGW1" s="529"/>
      <c r="DGX1" s="529"/>
      <c r="DGY1" s="530"/>
      <c r="DGZ1" s="529"/>
      <c r="DHA1" s="529"/>
      <c r="DHB1" s="529"/>
      <c r="DHC1" s="529"/>
      <c r="DHD1" s="529"/>
      <c r="DHE1" s="529"/>
      <c r="DHF1" s="529"/>
      <c r="DHG1" s="530"/>
      <c r="DHH1" s="529"/>
      <c r="DHI1" s="529"/>
      <c r="DHJ1" s="529"/>
      <c r="DHK1" s="529"/>
      <c r="DHL1" s="529"/>
      <c r="DHM1" s="529"/>
      <c r="DHN1" s="529"/>
      <c r="DHO1" s="530"/>
      <c r="DHP1" s="529"/>
      <c r="DHQ1" s="529"/>
      <c r="DHR1" s="529"/>
      <c r="DHS1" s="529"/>
      <c r="DHT1" s="529"/>
      <c r="DHU1" s="529"/>
      <c r="DHV1" s="529"/>
      <c r="DHW1" s="530"/>
      <c r="DHX1" s="529"/>
      <c r="DHY1" s="529"/>
      <c r="DHZ1" s="529"/>
      <c r="DIA1" s="529"/>
      <c r="DIB1" s="529"/>
      <c r="DIC1" s="529"/>
      <c r="DID1" s="529"/>
      <c r="DIE1" s="530"/>
      <c r="DIF1" s="529"/>
      <c r="DIG1" s="529"/>
      <c r="DIH1" s="529"/>
      <c r="DII1" s="529"/>
      <c r="DIJ1" s="529"/>
      <c r="DIK1" s="529"/>
      <c r="DIL1" s="529"/>
      <c r="DIM1" s="530"/>
      <c r="DIN1" s="529"/>
      <c r="DIO1" s="529"/>
      <c r="DIP1" s="529"/>
      <c r="DIQ1" s="529"/>
      <c r="DIR1" s="529"/>
      <c r="DIS1" s="529"/>
      <c r="DIT1" s="529"/>
      <c r="DIU1" s="530"/>
      <c r="DIV1" s="529"/>
      <c r="DIW1" s="529"/>
      <c r="DIX1" s="529"/>
      <c r="DIY1" s="529"/>
      <c r="DIZ1" s="529"/>
      <c r="DJA1" s="529"/>
      <c r="DJB1" s="529"/>
      <c r="DJC1" s="530"/>
      <c r="DJD1" s="529"/>
      <c r="DJE1" s="529"/>
      <c r="DJF1" s="529"/>
      <c r="DJG1" s="529"/>
      <c r="DJH1" s="529"/>
      <c r="DJI1" s="529"/>
      <c r="DJJ1" s="529"/>
      <c r="DJK1" s="530"/>
      <c r="DJL1" s="529"/>
      <c r="DJM1" s="529"/>
      <c r="DJN1" s="529"/>
      <c r="DJO1" s="529"/>
      <c r="DJP1" s="529"/>
      <c r="DJQ1" s="529"/>
      <c r="DJR1" s="529"/>
      <c r="DJS1" s="530"/>
      <c r="DJT1" s="529"/>
      <c r="DJU1" s="529"/>
      <c r="DJV1" s="529"/>
      <c r="DJW1" s="529"/>
      <c r="DJX1" s="529"/>
      <c r="DJY1" s="529"/>
      <c r="DJZ1" s="529"/>
      <c r="DKA1" s="530"/>
      <c r="DKB1" s="529"/>
      <c r="DKC1" s="529"/>
      <c r="DKD1" s="529"/>
      <c r="DKE1" s="529"/>
      <c r="DKF1" s="529"/>
      <c r="DKG1" s="529"/>
      <c r="DKH1" s="529"/>
      <c r="DKI1" s="530"/>
      <c r="DKJ1" s="529"/>
      <c r="DKK1" s="529"/>
      <c r="DKL1" s="529"/>
      <c r="DKM1" s="529"/>
      <c r="DKN1" s="529"/>
      <c r="DKO1" s="529"/>
      <c r="DKP1" s="529"/>
      <c r="DKQ1" s="530"/>
      <c r="DKR1" s="529"/>
      <c r="DKS1" s="529"/>
      <c r="DKT1" s="529"/>
      <c r="DKU1" s="529"/>
      <c r="DKV1" s="529"/>
      <c r="DKW1" s="529"/>
      <c r="DKX1" s="529"/>
      <c r="DKY1" s="530"/>
      <c r="DKZ1" s="529"/>
      <c r="DLA1" s="529"/>
      <c r="DLB1" s="529"/>
      <c r="DLC1" s="529"/>
      <c r="DLD1" s="529"/>
      <c r="DLE1" s="529"/>
      <c r="DLF1" s="529"/>
      <c r="DLG1" s="530"/>
      <c r="DLH1" s="529"/>
      <c r="DLI1" s="529"/>
      <c r="DLJ1" s="529"/>
      <c r="DLK1" s="529"/>
      <c r="DLL1" s="529"/>
      <c r="DLM1" s="529"/>
      <c r="DLN1" s="529"/>
      <c r="DLO1" s="530"/>
      <c r="DLP1" s="529"/>
      <c r="DLQ1" s="529"/>
      <c r="DLR1" s="529"/>
      <c r="DLS1" s="529"/>
      <c r="DLT1" s="529"/>
      <c r="DLU1" s="529"/>
      <c r="DLV1" s="529"/>
      <c r="DLW1" s="530"/>
      <c r="DLX1" s="529"/>
      <c r="DLY1" s="529"/>
      <c r="DLZ1" s="529"/>
      <c r="DMA1" s="529"/>
      <c r="DMB1" s="529"/>
      <c r="DMC1" s="529"/>
      <c r="DMD1" s="529"/>
      <c r="DME1" s="530"/>
      <c r="DMF1" s="529"/>
      <c r="DMG1" s="529"/>
      <c r="DMH1" s="529"/>
      <c r="DMI1" s="529"/>
      <c r="DMJ1" s="529"/>
      <c r="DMK1" s="529"/>
      <c r="DML1" s="529"/>
      <c r="DMM1" s="530"/>
      <c r="DMN1" s="529"/>
      <c r="DMO1" s="529"/>
      <c r="DMP1" s="529"/>
      <c r="DMQ1" s="529"/>
      <c r="DMR1" s="529"/>
      <c r="DMS1" s="529"/>
      <c r="DMT1" s="529"/>
      <c r="DMU1" s="530"/>
      <c r="DMV1" s="529"/>
      <c r="DMW1" s="529"/>
      <c r="DMX1" s="529"/>
      <c r="DMY1" s="529"/>
      <c r="DMZ1" s="529"/>
      <c r="DNA1" s="529"/>
      <c r="DNB1" s="529"/>
      <c r="DNC1" s="530"/>
      <c r="DND1" s="529"/>
      <c r="DNE1" s="529"/>
      <c r="DNF1" s="529"/>
      <c r="DNG1" s="529"/>
      <c r="DNH1" s="529"/>
      <c r="DNI1" s="529"/>
      <c r="DNJ1" s="529"/>
      <c r="DNK1" s="530"/>
      <c r="DNL1" s="529"/>
      <c r="DNM1" s="529"/>
      <c r="DNN1" s="529"/>
      <c r="DNO1" s="529"/>
      <c r="DNP1" s="529"/>
      <c r="DNQ1" s="529"/>
      <c r="DNR1" s="529"/>
      <c r="DNS1" s="530"/>
      <c r="DNT1" s="529"/>
      <c r="DNU1" s="529"/>
      <c r="DNV1" s="529"/>
      <c r="DNW1" s="529"/>
      <c r="DNX1" s="529"/>
      <c r="DNY1" s="529"/>
      <c r="DNZ1" s="529"/>
      <c r="DOA1" s="530"/>
      <c r="DOB1" s="529"/>
      <c r="DOC1" s="529"/>
      <c r="DOD1" s="529"/>
      <c r="DOE1" s="529"/>
      <c r="DOF1" s="529"/>
      <c r="DOG1" s="529"/>
      <c r="DOH1" s="529"/>
      <c r="DOI1" s="530"/>
      <c r="DOJ1" s="529"/>
      <c r="DOK1" s="529"/>
      <c r="DOL1" s="529"/>
      <c r="DOM1" s="529"/>
      <c r="DON1" s="529"/>
      <c r="DOO1" s="529"/>
      <c r="DOP1" s="529"/>
      <c r="DOQ1" s="530"/>
      <c r="DOR1" s="529"/>
      <c r="DOS1" s="529"/>
      <c r="DOT1" s="529"/>
      <c r="DOU1" s="529"/>
      <c r="DOV1" s="529"/>
      <c r="DOW1" s="529"/>
      <c r="DOX1" s="529"/>
      <c r="DOY1" s="530"/>
      <c r="DOZ1" s="529"/>
      <c r="DPA1" s="529"/>
      <c r="DPB1" s="529"/>
      <c r="DPC1" s="529"/>
      <c r="DPD1" s="529"/>
      <c r="DPE1" s="529"/>
      <c r="DPF1" s="529"/>
      <c r="DPG1" s="530"/>
      <c r="DPH1" s="529"/>
      <c r="DPI1" s="529"/>
      <c r="DPJ1" s="529"/>
      <c r="DPK1" s="529"/>
      <c r="DPL1" s="529"/>
      <c r="DPM1" s="529"/>
      <c r="DPN1" s="529"/>
      <c r="DPO1" s="530"/>
      <c r="DPP1" s="529"/>
      <c r="DPQ1" s="529"/>
      <c r="DPR1" s="529"/>
      <c r="DPS1" s="529"/>
      <c r="DPT1" s="529"/>
      <c r="DPU1" s="529"/>
      <c r="DPV1" s="529"/>
      <c r="DPW1" s="530"/>
      <c r="DPX1" s="529"/>
      <c r="DPY1" s="529"/>
      <c r="DPZ1" s="529"/>
      <c r="DQA1" s="529"/>
      <c r="DQB1" s="529"/>
      <c r="DQC1" s="529"/>
      <c r="DQD1" s="529"/>
      <c r="DQE1" s="530"/>
      <c r="DQF1" s="529"/>
      <c r="DQG1" s="529"/>
      <c r="DQH1" s="529"/>
      <c r="DQI1" s="529"/>
      <c r="DQJ1" s="529"/>
      <c r="DQK1" s="529"/>
      <c r="DQL1" s="529"/>
      <c r="DQM1" s="530"/>
      <c r="DQN1" s="529"/>
      <c r="DQO1" s="529"/>
      <c r="DQP1" s="529"/>
      <c r="DQQ1" s="529"/>
      <c r="DQR1" s="529"/>
      <c r="DQS1" s="529"/>
      <c r="DQT1" s="529"/>
      <c r="DQU1" s="530"/>
      <c r="DQV1" s="529"/>
      <c r="DQW1" s="529"/>
      <c r="DQX1" s="529"/>
      <c r="DQY1" s="529"/>
      <c r="DQZ1" s="529"/>
      <c r="DRA1" s="529"/>
      <c r="DRB1" s="529"/>
      <c r="DRC1" s="530"/>
      <c r="DRD1" s="529"/>
      <c r="DRE1" s="529"/>
      <c r="DRF1" s="529"/>
      <c r="DRG1" s="529"/>
      <c r="DRH1" s="529"/>
      <c r="DRI1" s="529"/>
      <c r="DRJ1" s="529"/>
      <c r="DRK1" s="530"/>
      <c r="DRL1" s="529"/>
      <c r="DRM1" s="529"/>
      <c r="DRN1" s="529"/>
      <c r="DRO1" s="529"/>
      <c r="DRP1" s="529"/>
      <c r="DRQ1" s="529"/>
      <c r="DRR1" s="529"/>
      <c r="DRS1" s="530"/>
      <c r="DRT1" s="529"/>
      <c r="DRU1" s="529"/>
      <c r="DRV1" s="529"/>
      <c r="DRW1" s="529"/>
      <c r="DRX1" s="529"/>
      <c r="DRY1" s="529"/>
      <c r="DRZ1" s="529"/>
      <c r="DSA1" s="530"/>
      <c r="DSB1" s="529"/>
      <c r="DSC1" s="529"/>
      <c r="DSD1" s="529"/>
      <c r="DSE1" s="529"/>
      <c r="DSF1" s="529"/>
      <c r="DSG1" s="529"/>
      <c r="DSH1" s="529"/>
      <c r="DSI1" s="530"/>
      <c r="DSJ1" s="529"/>
      <c r="DSK1" s="529"/>
      <c r="DSL1" s="529"/>
      <c r="DSM1" s="529"/>
      <c r="DSN1" s="529"/>
      <c r="DSO1" s="529"/>
      <c r="DSP1" s="529"/>
      <c r="DSQ1" s="530"/>
      <c r="DSR1" s="529"/>
      <c r="DSS1" s="529"/>
      <c r="DST1" s="529"/>
      <c r="DSU1" s="529"/>
      <c r="DSV1" s="529"/>
      <c r="DSW1" s="529"/>
      <c r="DSX1" s="529"/>
      <c r="DSY1" s="530"/>
      <c r="DSZ1" s="529"/>
      <c r="DTA1" s="529"/>
      <c r="DTB1" s="529"/>
      <c r="DTC1" s="529"/>
      <c r="DTD1" s="529"/>
      <c r="DTE1" s="529"/>
      <c r="DTF1" s="529"/>
      <c r="DTG1" s="530"/>
      <c r="DTH1" s="529"/>
      <c r="DTI1" s="529"/>
      <c r="DTJ1" s="529"/>
      <c r="DTK1" s="529"/>
      <c r="DTL1" s="529"/>
      <c r="DTM1" s="529"/>
      <c r="DTN1" s="529"/>
      <c r="DTO1" s="530"/>
      <c r="DTP1" s="529"/>
      <c r="DTQ1" s="529"/>
      <c r="DTR1" s="529"/>
      <c r="DTS1" s="529"/>
      <c r="DTT1" s="529"/>
      <c r="DTU1" s="529"/>
      <c r="DTV1" s="529"/>
      <c r="DTW1" s="530"/>
      <c r="DTX1" s="529"/>
      <c r="DTY1" s="529"/>
      <c r="DTZ1" s="529"/>
      <c r="DUA1" s="529"/>
      <c r="DUB1" s="529"/>
      <c r="DUC1" s="529"/>
      <c r="DUD1" s="529"/>
      <c r="DUE1" s="530"/>
      <c r="DUF1" s="529"/>
      <c r="DUG1" s="529"/>
      <c r="DUH1" s="529"/>
      <c r="DUI1" s="529"/>
      <c r="DUJ1" s="529"/>
      <c r="DUK1" s="529"/>
      <c r="DUL1" s="529"/>
      <c r="DUM1" s="530"/>
      <c r="DUN1" s="529"/>
      <c r="DUO1" s="529"/>
      <c r="DUP1" s="529"/>
      <c r="DUQ1" s="529"/>
      <c r="DUR1" s="529"/>
      <c r="DUS1" s="529"/>
      <c r="DUT1" s="529"/>
      <c r="DUU1" s="530"/>
      <c r="DUV1" s="529"/>
      <c r="DUW1" s="529"/>
      <c r="DUX1" s="529"/>
      <c r="DUY1" s="529"/>
      <c r="DUZ1" s="529"/>
      <c r="DVA1" s="529"/>
      <c r="DVB1" s="529"/>
      <c r="DVC1" s="530"/>
      <c r="DVD1" s="529"/>
      <c r="DVE1" s="529"/>
      <c r="DVF1" s="529"/>
      <c r="DVG1" s="529"/>
      <c r="DVH1" s="529"/>
      <c r="DVI1" s="529"/>
      <c r="DVJ1" s="529"/>
      <c r="DVK1" s="530"/>
      <c r="DVL1" s="529"/>
      <c r="DVM1" s="529"/>
      <c r="DVN1" s="529"/>
      <c r="DVO1" s="529"/>
      <c r="DVP1" s="529"/>
      <c r="DVQ1" s="529"/>
      <c r="DVR1" s="529"/>
      <c r="DVS1" s="530"/>
      <c r="DVT1" s="529"/>
      <c r="DVU1" s="529"/>
      <c r="DVV1" s="529"/>
      <c r="DVW1" s="529"/>
      <c r="DVX1" s="529"/>
      <c r="DVY1" s="529"/>
      <c r="DVZ1" s="529"/>
      <c r="DWA1" s="530"/>
      <c r="DWB1" s="529"/>
      <c r="DWC1" s="529"/>
      <c r="DWD1" s="529"/>
      <c r="DWE1" s="529"/>
      <c r="DWF1" s="529"/>
      <c r="DWG1" s="529"/>
      <c r="DWH1" s="529"/>
      <c r="DWI1" s="530"/>
      <c r="DWJ1" s="529"/>
      <c r="DWK1" s="529"/>
      <c r="DWL1" s="529"/>
      <c r="DWM1" s="529"/>
      <c r="DWN1" s="529"/>
      <c r="DWO1" s="529"/>
      <c r="DWP1" s="529"/>
      <c r="DWQ1" s="530"/>
      <c r="DWR1" s="529"/>
      <c r="DWS1" s="529"/>
      <c r="DWT1" s="529"/>
      <c r="DWU1" s="529"/>
      <c r="DWV1" s="529"/>
      <c r="DWW1" s="529"/>
      <c r="DWX1" s="529"/>
      <c r="DWY1" s="530"/>
      <c r="DWZ1" s="529"/>
      <c r="DXA1" s="529"/>
      <c r="DXB1" s="529"/>
      <c r="DXC1" s="529"/>
      <c r="DXD1" s="529"/>
      <c r="DXE1" s="529"/>
      <c r="DXF1" s="529"/>
      <c r="DXG1" s="530"/>
      <c r="DXH1" s="529"/>
      <c r="DXI1" s="529"/>
      <c r="DXJ1" s="529"/>
      <c r="DXK1" s="529"/>
      <c r="DXL1" s="529"/>
      <c r="DXM1" s="529"/>
      <c r="DXN1" s="529"/>
      <c r="DXO1" s="530"/>
      <c r="DXP1" s="529"/>
      <c r="DXQ1" s="529"/>
      <c r="DXR1" s="529"/>
      <c r="DXS1" s="529"/>
      <c r="DXT1" s="529"/>
      <c r="DXU1" s="529"/>
      <c r="DXV1" s="529"/>
      <c r="DXW1" s="530"/>
      <c r="DXX1" s="529"/>
      <c r="DXY1" s="529"/>
      <c r="DXZ1" s="529"/>
      <c r="DYA1" s="529"/>
      <c r="DYB1" s="529"/>
      <c r="DYC1" s="529"/>
      <c r="DYD1" s="529"/>
      <c r="DYE1" s="530"/>
      <c r="DYF1" s="529"/>
      <c r="DYG1" s="529"/>
      <c r="DYH1" s="529"/>
      <c r="DYI1" s="529"/>
      <c r="DYJ1" s="529"/>
      <c r="DYK1" s="529"/>
      <c r="DYL1" s="529"/>
      <c r="DYM1" s="530"/>
      <c r="DYN1" s="529"/>
      <c r="DYO1" s="529"/>
      <c r="DYP1" s="529"/>
      <c r="DYQ1" s="529"/>
      <c r="DYR1" s="529"/>
      <c r="DYS1" s="529"/>
      <c r="DYT1" s="529"/>
      <c r="DYU1" s="530"/>
      <c r="DYV1" s="529"/>
      <c r="DYW1" s="529"/>
      <c r="DYX1" s="529"/>
      <c r="DYY1" s="529"/>
      <c r="DYZ1" s="529"/>
      <c r="DZA1" s="529"/>
      <c r="DZB1" s="529"/>
      <c r="DZC1" s="530"/>
      <c r="DZD1" s="529"/>
      <c r="DZE1" s="529"/>
      <c r="DZF1" s="529"/>
      <c r="DZG1" s="529"/>
      <c r="DZH1" s="529"/>
      <c r="DZI1" s="529"/>
      <c r="DZJ1" s="529"/>
      <c r="DZK1" s="530"/>
      <c r="DZL1" s="529"/>
      <c r="DZM1" s="529"/>
      <c r="DZN1" s="529"/>
      <c r="DZO1" s="529"/>
      <c r="DZP1" s="529"/>
      <c r="DZQ1" s="529"/>
      <c r="DZR1" s="529"/>
      <c r="DZS1" s="530"/>
      <c r="DZT1" s="529"/>
      <c r="DZU1" s="529"/>
      <c r="DZV1" s="529"/>
      <c r="DZW1" s="529"/>
      <c r="DZX1" s="529"/>
      <c r="DZY1" s="529"/>
      <c r="DZZ1" s="529"/>
      <c r="EAA1" s="530"/>
      <c r="EAB1" s="529"/>
      <c r="EAC1" s="529"/>
      <c r="EAD1" s="529"/>
      <c r="EAE1" s="529"/>
      <c r="EAF1" s="529"/>
      <c r="EAG1" s="529"/>
      <c r="EAH1" s="529"/>
      <c r="EAI1" s="530"/>
      <c r="EAJ1" s="529"/>
      <c r="EAK1" s="529"/>
      <c r="EAL1" s="529"/>
      <c r="EAM1" s="529"/>
      <c r="EAN1" s="529"/>
      <c r="EAO1" s="529"/>
      <c r="EAP1" s="529"/>
      <c r="EAQ1" s="530"/>
      <c r="EAR1" s="529"/>
      <c r="EAS1" s="529"/>
      <c r="EAT1" s="529"/>
      <c r="EAU1" s="529"/>
      <c r="EAV1" s="529"/>
      <c r="EAW1" s="529"/>
      <c r="EAX1" s="529"/>
      <c r="EAY1" s="530"/>
      <c r="EAZ1" s="529"/>
      <c r="EBA1" s="529"/>
      <c r="EBB1" s="529"/>
      <c r="EBC1" s="529"/>
      <c r="EBD1" s="529"/>
      <c r="EBE1" s="529"/>
      <c r="EBF1" s="529"/>
      <c r="EBG1" s="530"/>
      <c r="EBH1" s="529"/>
      <c r="EBI1" s="529"/>
      <c r="EBJ1" s="529"/>
      <c r="EBK1" s="529"/>
      <c r="EBL1" s="529"/>
      <c r="EBM1" s="529"/>
      <c r="EBN1" s="529"/>
      <c r="EBO1" s="530"/>
      <c r="EBP1" s="529"/>
      <c r="EBQ1" s="529"/>
      <c r="EBR1" s="529"/>
      <c r="EBS1" s="529"/>
      <c r="EBT1" s="529"/>
      <c r="EBU1" s="529"/>
      <c r="EBV1" s="529"/>
      <c r="EBW1" s="530"/>
      <c r="EBX1" s="529"/>
      <c r="EBY1" s="529"/>
      <c r="EBZ1" s="529"/>
      <c r="ECA1" s="529"/>
      <c r="ECB1" s="529"/>
      <c r="ECC1" s="529"/>
      <c r="ECD1" s="529"/>
      <c r="ECE1" s="530"/>
      <c r="ECF1" s="529"/>
      <c r="ECG1" s="529"/>
      <c r="ECH1" s="529"/>
      <c r="ECI1" s="529"/>
      <c r="ECJ1" s="529"/>
      <c r="ECK1" s="529"/>
      <c r="ECL1" s="529"/>
      <c r="ECM1" s="530"/>
      <c r="ECN1" s="529"/>
      <c r="ECO1" s="529"/>
      <c r="ECP1" s="529"/>
      <c r="ECQ1" s="529"/>
      <c r="ECR1" s="529"/>
      <c r="ECS1" s="529"/>
      <c r="ECT1" s="529"/>
      <c r="ECU1" s="530"/>
      <c r="ECV1" s="529"/>
      <c r="ECW1" s="529"/>
      <c r="ECX1" s="529"/>
      <c r="ECY1" s="529"/>
      <c r="ECZ1" s="529"/>
      <c r="EDA1" s="529"/>
      <c r="EDB1" s="529"/>
      <c r="EDC1" s="530"/>
      <c r="EDD1" s="529"/>
      <c r="EDE1" s="529"/>
      <c r="EDF1" s="529"/>
      <c r="EDG1" s="529"/>
      <c r="EDH1" s="529"/>
      <c r="EDI1" s="529"/>
      <c r="EDJ1" s="529"/>
      <c r="EDK1" s="530"/>
      <c r="EDL1" s="529"/>
      <c r="EDM1" s="529"/>
      <c r="EDN1" s="529"/>
      <c r="EDO1" s="529"/>
      <c r="EDP1" s="529"/>
      <c r="EDQ1" s="529"/>
      <c r="EDR1" s="529"/>
      <c r="EDS1" s="530"/>
      <c r="EDT1" s="529"/>
      <c r="EDU1" s="529"/>
      <c r="EDV1" s="529"/>
      <c r="EDW1" s="529"/>
      <c r="EDX1" s="529"/>
      <c r="EDY1" s="529"/>
      <c r="EDZ1" s="529"/>
      <c r="EEA1" s="530"/>
      <c r="EEB1" s="529"/>
      <c r="EEC1" s="529"/>
      <c r="EED1" s="529"/>
      <c r="EEE1" s="529"/>
      <c r="EEF1" s="529"/>
      <c r="EEG1" s="529"/>
      <c r="EEH1" s="529"/>
      <c r="EEI1" s="530"/>
      <c r="EEJ1" s="529"/>
      <c r="EEK1" s="529"/>
      <c r="EEL1" s="529"/>
      <c r="EEM1" s="529"/>
      <c r="EEN1" s="529"/>
      <c r="EEO1" s="529"/>
      <c r="EEP1" s="529"/>
      <c r="EEQ1" s="530"/>
      <c r="EER1" s="529"/>
      <c r="EES1" s="529"/>
      <c r="EET1" s="529"/>
      <c r="EEU1" s="529"/>
      <c r="EEV1" s="529"/>
      <c r="EEW1" s="529"/>
      <c r="EEX1" s="529"/>
      <c r="EEY1" s="530"/>
      <c r="EEZ1" s="529"/>
      <c r="EFA1" s="529"/>
      <c r="EFB1" s="529"/>
      <c r="EFC1" s="529"/>
      <c r="EFD1" s="529"/>
      <c r="EFE1" s="529"/>
      <c r="EFF1" s="529"/>
      <c r="EFG1" s="530"/>
      <c r="EFH1" s="529"/>
      <c r="EFI1" s="529"/>
      <c r="EFJ1" s="529"/>
      <c r="EFK1" s="529"/>
      <c r="EFL1" s="529"/>
      <c r="EFM1" s="529"/>
      <c r="EFN1" s="529"/>
      <c r="EFO1" s="530"/>
      <c r="EFP1" s="529"/>
      <c r="EFQ1" s="529"/>
      <c r="EFR1" s="529"/>
      <c r="EFS1" s="529"/>
      <c r="EFT1" s="529"/>
      <c r="EFU1" s="529"/>
      <c r="EFV1" s="529"/>
      <c r="EFW1" s="530"/>
      <c r="EFX1" s="529"/>
      <c r="EFY1" s="529"/>
      <c r="EFZ1" s="529"/>
      <c r="EGA1" s="529"/>
      <c r="EGB1" s="529"/>
      <c r="EGC1" s="529"/>
      <c r="EGD1" s="529"/>
      <c r="EGE1" s="530"/>
      <c r="EGF1" s="529"/>
      <c r="EGG1" s="529"/>
      <c r="EGH1" s="529"/>
      <c r="EGI1" s="529"/>
      <c r="EGJ1" s="529"/>
      <c r="EGK1" s="529"/>
      <c r="EGL1" s="529"/>
      <c r="EGM1" s="530"/>
      <c r="EGN1" s="529"/>
      <c r="EGO1" s="529"/>
      <c r="EGP1" s="529"/>
      <c r="EGQ1" s="529"/>
      <c r="EGR1" s="529"/>
      <c r="EGS1" s="529"/>
      <c r="EGT1" s="529"/>
      <c r="EGU1" s="530"/>
      <c r="EGV1" s="529"/>
      <c r="EGW1" s="529"/>
      <c r="EGX1" s="529"/>
      <c r="EGY1" s="529"/>
      <c r="EGZ1" s="529"/>
      <c r="EHA1" s="529"/>
      <c r="EHB1" s="529"/>
      <c r="EHC1" s="530"/>
      <c r="EHD1" s="529"/>
      <c r="EHE1" s="529"/>
      <c r="EHF1" s="529"/>
      <c r="EHG1" s="529"/>
      <c r="EHH1" s="529"/>
      <c r="EHI1" s="529"/>
      <c r="EHJ1" s="529"/>
      <c r="EHK1" s="530"/>
      <c r="EHL1" s="529"/>
      <c r="EHM1" s="529"/>
      <c r="EHN1" s="529"/>
      <c r="EHO1" s="529"/>
      <c r="EHP1" s="529"/>
      <c r="EHQ1" s="529"/>
      <c r="EHR1" s="529"/>
      <c r="EHS1" s="530"/>
      <c r="EHT1" s="529"/>
      <c r="EHU1" s="529"/>
      <c r="EHV1" s="529"/>
      <c r="EHW1" s="529"/>
      <c r="EHX1" s="529"/>
      <c r="EHY1" s="529"/>
      <c r="EHZ1" s="529"/>
      <c r="EIA1" s="530"/>
      <c r="EIB1" s="529"/>
      <c r="EIC1" s="529"/>
      <c r="EID1" s="529"/>
      <c r="EIE1" s="529"/>
      <c r="EIF1" s="529"/>
      <c r="EIG1" s="529"/>
      <c r="EIH1" s="529"/>
      <c r="EII1" s="530"/>
      <c r="EIJ1" s="529"/>
      <c r="EIK1" s="529"/>
      <c r="EIL1" s="529"/>
      <c r="EIM1" s="529"/>
      <c r="EIN1" s="529"/>
      <c r="EIO1" s="529"/>
      <c r="EIP1" s="529"/>
      <c r="EIQ1" s="530"/>
      <c r="EIR1" s="529"/>
      <c r="EIS1" s="529"/>
      <c r="EIT1" s="529"/>
      <c r="EIU1" s="529"/>
      <c r="EIV1" s="529"/>
      <c r="EIW1" s="529"/>
      <c r="EIX1" s="529"/>
      <c r="EIY1" s="530"/>
      <c r="EIZ1" s="529"/>
      <c r="EJA1" s="529"/>
      <c r="EJB1" s="529"/>
      <c r="EJC1" s="529"/>
      <c r="EJD1" s="529"/>
      <c r="EJE1" s="529"/>
      <c r="EJF1" s="529"/>
      <c r="EJG1" s="530"/>
      <c r="EJH1" s="529"/>
      <c r="EJI1" s="529"/>
      <c r="EJJ1" s="529"/>
      <c r="EJK1" s="529"/>
      <c r="EJL1" s="529"/>
      <c r="EJM1" s="529"/>
      <c r="EJN1" s="529"/>
      <c r="EJO1" s="530"/>
      <c r="EJP1" s="529"/>
      <c r="EJQ1" s="529"/>
      <c r="EJR1" s="529"/>
      <c r="EJS1" s="529"/>
      <c r="EJT1" s="529"/>
      <c r="EJU1" s="529"/>
      <c r="EJV1" s="529"/>
      <c r="EJW1" s="530"/>
      <c r="EJX1" s="529"/>
      <c r="EJY1" s="529"/>
      <c r="EJZ1" s="529"/>
      <c r="EKA1" s="529"/>
      <c r="EKB1" s="529"/>
      <c r="EKC1" s="529"/>
      <c r="EKD1" s="529"/>
      <c r="EKE1" s="530"/>
      <c r="EKF1" s="529"/>
      <c r="EKG1" s="529"/>
      <c r="EKH1" s="529"/>
      <c r="EKI1" s="529"/>
      <c r="EKJ1" s="529"/>
      <c r="EKK1" s="529"/>
      <c r="EKL1" s="529"/>
      <c r="EKM1" s="530"/>
      <c r="EKN1" s="529"/>
      <c r="EKO1" s="529"/>
      <c r="EKP1" s="529"/>
      <c r="EKQ1" s="529"/>
      <c r="EKR1" s="529"/>
      <c r="EKS1" s="529"/>
      <c r="EKT1" s="529"/>
      <c r="EKU1" s="530"/>
      <c r="EKV1" s="529"/>
      <c r="EKW1" s="529"/>
      <c r="EKX1" s="529"/>
      <c r="EKY1" s="529"/>
      <c r="EKZ1" s="529"/>
      <c r="ELA1" s="529"/>
      <c r="ELB1" s="529"/>
      <c r="ELC1" s="530"/>
      <c r="ELD1" s="529"/>
      <c r="ELE1" s="529"/>
      <c r="ELF1" s="529"/>
      <c r="ELG1" s="529"/>
      <c r="ELH1" s="529"/>
      <c r="ELI1" s="529"/>
      <c r="ELJ1" s="529"/>
      <c r="ELK1" s="530"/>
      <c r="ELL1" s="529"/>
      <c r="ELM1" s="529"/>
      <c r="ELN1" s="529"/>
      <c r="ELO1" s="529"/>
      <c r="ELP1" s="529"/>
      <c r="ELQ1" s="529"/>
      <c r="ELR1" s="529"/>
      <c r="ELS1" s="530"/>
      <c r="ELT1" s="529"/>
      <c r="ELU1" s="529"/>
      <c r="ELV1" s="529"/>
      <c r="ELW1" s="529"/>
      <c r="ELX1" s="529"/>
      <c r="ELY1" s="529"/>
      <c r="ELZ1" s="529"/>
      <c r="EMA1" s="530"/>
      <c r="EMB1" s="529"/>
      <c r="EMC1" s="529"/>
      <c r="EMD1" s="529"/>
      <c r="EME1" s="529"/>
      <c r="EMF1" s="529"/>
      <c r="EMG1" s="529"/>
      <c r="EMH1" s="529"/>
      <c r="EMI1" s="530"/>
      <c r="EMJ1" s="529"/>
      <c r="EMK1" s="529"/>
      <c r="EML1" s="529"/>
      <c r="EMM1" s="529"/>
      <c r="EMN1" s="529"/>
      <c r="EMO1" s="529"/>
      <c r="EMP1" s="529"/>
      <c r="EMQ1" s="530"/>
      <c r="EMR1" s="529"/>
      <c r="EMS1" s="529"/>
      <c r="EMT1" s="529"/>
      <c r="EMU1" s="529"/>
      <c r="EMV1" s="529"/>
      <c r="EMW1" s="529"/>
      <c r="EMX1" s="529"/>
      <c r="EMY1" s="530"/>
      <c r="EMZ1" s="529"/>
      <c r="ENA1" s="529"/>
      <c r="ENB1" s="529"/>
      <c r="ENC1" s="529"/>
      <c r="END1" s="529"/>
      <c r="ENE1" s="529"/>
      <c r="ENF1" s="529"/>
      <c r="ENG1" s="530"/>
      <c r="ENH1" s="529"/>
      <c r="ENI1" s="529"/>
      <c r="ENJ1" s="529"/>
      <c r="ENK1" s="529"/>
      <c r="ENL1" s="529"/>
      <c r="ENM1" s="529"/>
      <c r="ENN1" s="529"/>
      <c r="ENO1" s="530"/>
      <c r="ENP1" s="529"/>
      <c r="ENQ1" s="529"/>
      <c r="ENR1" s="529"/>
      <c r="ENS1" s="529"/>
      <c r="ENT1" s="529"/>
      <c r="ENU1" s="529"/>
      <c r="ENV1" s="529"/>
      <c r="ENW1" s="530"/>
      <c r="ENX1" s="529"/>
      <c r="ENY1" s="529"/>
      <c r="ENZ1" s="529"/>
      <c r="EOA1" s="529"/>
      <c r="EOB1" s="529"/>
      <c r="EOC1" s="529"/>
      <c r="EOD1" s="529"/>
      <c r="EOE1" s="530"/>
      <c r="EOF1" s="529"/>
      <c r="EOG1" s="529"/>
      <c r="EOH1" s="529"/>
      <c r="EOI1" s="529"/>
      <c r="EOJ1" s="529"/>
      <c r="EOK1" s="529"/>
      <c r="EOL1" s="529"/>
      <c r="EOM1" s="530"/>
      <c r="EON1" s="529"/>
      <c r="EOO1" s="529"/>
      <c r="EOP1" s="529"/>
      <c r="EOQ1" s="529"/>
      <c r="EOR1" s="529"/>
      <c r="EOS1" s="529"/>
      <c r="EOT1" s="529"/>
      <c r="EOU1" s="530"/>
      <c r="EOV1" s="529"/>
      <c r="EOW1" s="529"/>
      <c r="EOX1" s="529"/>
      <c r="EOY1" s="529"/>
      <c r="EOZ1" s="529"/>
      <c r="EPA1" s="529"/>
      <c r="EPB1" s="529"/>
      <c r="EPC1" s="530"/>
      <c r="EPD1" s="529"/>
      <c r="EPE1" s="529"/>
      <c r="EPF1" s="529"/>
      <c r="EPG1" s="529"/>
      <c r="EPH1" s="529"/>
      <c r="EPI1" s="529"/>
      <c r="EPJ1" s="529"/>
      <c r="EPK1" s="530"/>
      <c r="EPL1" s="529"/>
      <c r="EPM1" s="529"/>
      <c r="EPN1" s="529"/>
      <c r="EPO1" s="529"/>
      <c r="EPP1" s="529"/>
      <c r="EPQ1" s="529"/>
      <c r="EPR1" s="529"/>
      <c r="EPS1" s="530"/>
      <c r="EPT1" s="529"/>
      <c r="EPU1" s="529"/>
      <c r="EPV1" s="529"/>
      <c r="EPW1" s="529"/>
      <c r="EPX1" s="529"/>
      <c r="EPY1" s="529"/>
      <c r="EPZ1" s="529"/>
      <c r="EQA1" s="530"/>
      <c r="EQB1" s="529"/>
      <c r="EQC1" s="529"/>
      <c r="EQD1" s="529"/>
      <c r="EQE1" s="529"/>
      <c r="EQF1" s="529"/>
      <c r="EQG1" s="529"/>
      <c r="EQH1" s="529"/>
      <c r="EQI1" s="530"/>
      <c r="EQJ1" s="529"/>
      <c r="EQK1" s="529"/>
      <c r="EQL1" s="529"/>
      <c r="EQM1" s="529"/>
      <c r="EQN1" s="529"/>
      <c r="EQO1" s="529"/>
      <c r="EQP1" s="529"/>
      <c r="EQQ1" s="530"/>
      <c r="EQR1" s="529"/>
      <c r="EQS1" s="529"/>
      <c r="EQT1" s="529"/>
      <c r="EQU1" s="529"/>
      <c r="EQV1" s="529"/>
      <c r="EQW1" s="529"/>
      <c r="EQX1" s="529"/>
      <c r="EQY1" s="530"/>
      <c r="EQZ1" s="529"/>
      <c r="ERA1" s="529"/>
      <c r="ERB1" s="529"/>
      <c r="ERC1" s="529"/>
      <c r="ERD1" s="529"/>
      <c r="ERE1" s="529"/>
      <c r="ERF1" s="529"/>
      <c r="ERG1" s="530"/>
      <c r="ERH1" s="529"/>
      <c r="ERI1" s="529"/>
      <c r="ERJ1" s="529"/>
      <c r="ERK1" s="529"/>
      <c r="ERL1" s="529"/>
      <c r="ERM1" s="529"/>
      <c r="ERN1" s="529"/>
      <c r="ERO1" s="530"/>
      <c r="ERP1" s="529"/>
      <c r="ERQ1" s="529"/>
      <c r="ERR1" s="529"/>
      <c r="ERS1" s="529"/>
      <c r="ERT1" s="529"/>
      <c r="ERU1" s="529"/>
      <c r="ERV1" s="529"/>
      <c r="ERW1" s="530"/>
      <c r="ERX1" s="529"/>
      <c r="ERY1" s="529"/>
      <c r="ERZ1" s="529"/>
      <c r="ESA1" s="529"/>
      <c r="ESB1" s="529"/>
      <c r="ESC1" s="529"/>
      <c r="ESD1" s="529"/>
      <c r="ESE1" s="530"/>
      <c r="ESF1" s="529"/>
      <c r="ESG1" s="529"/>
      <c r="ESH1" s="529"/>
      <c r="ESI1" s="529"/>
      <c r="ESJ1" s="529"/>
      <c r="ESK1" s="529"/>
      <c r="ESL1" s="529"/>
      <c r="ESM1" s="530"/>
      <c r="ESN1" s="529"/>
      <c r="ESO1" s="529"/>
      <c r="ESP1" s="529"/>
      <c r="ESQ1" s="529"/>
      <c r="ESR1" s="529"/>
      <c r="ESS1" s="529"/>
      <c r="EST1" s="529"/>
      <c r="ESU1" s="530"/>
      <c r="ESV1" s="529"/>
      <c r="ESW1" s="529"/>
      <c r="ESX1" s="529"/>
      <c r="ESY1" s="529"/>
      <c r="ESZ1" s="529"/>
      <c r="ETA1" s="529"/>
      <c r="ETB1" s="529"/>
      <c r="ETC1" s="530"/>
      <c r="ETD1" s="529"/>
      <c r="ETE1" s="529"/>
      <c r="ETF1" s="529"/>
      <c r="ETG1" s="529"/>
      <c r="ETH1" s="529"/>
      <c r="ETI1" s="529"/>
      <c r="ETJ1" s="529"/>
      <c r="ETK1" s="530"/>
      <c r="ETL1" s="529"/>
      <c r="ETM1" s="529"/>
      <c r="ETN1" s="529"/>
      <c r="ETO1" s="529"/>
      <c r="ETP1" s="529"/>
      <c r="ETQ1" s="529"/>
      <c r="ETR1" s="529"/>
      <c r="ETS1" s="530"/>
      <c r="ETT1" s="529"/>
      <c r="ETU1" s="529"/>
      <c r="ETV1" s="529"/>
      <c r="ETW1" s="529"/>
      <c r="ETX1" s="529"/>
      <c r="ETY1" s="529"/>
      <c r="ETZ1" s="529"/>
      <c r="EUA1" s="530"/>
      <c r="EUB1" s="529"/>
      <c r="EUC1" s="529"/>
      <c r="EUD1" s="529"/>
      <c r="EUE1" s="529"/>
      <c r="EUF1" s="529"/>
      <c r="EUG1" s="529"/>
      <c r="EUH1" s="529"/>
      <c r="EUI1" s="530"/>
      <c r="EUJ1" s="529"/>
      <c r="EUK1" s="529"/>
      <c r="EUL1" s="529"/>
      <c r="EUM1" s="529"/>
      <c r="EUN1" s="529"/>
      <c r="EUO1" s="529"/>
      <c r="EUP1" s="529"/>
      <c r="EUQ1" s="530"/>
      <c r="EUR1" s="529"/>
      <c r="EUS1" s="529"/>
      <c r="EUT1" s="529"/>
      <c r="EUU1" s="529"/>
      <c r="EUV1" s="529"/>
      <c r="EUW1" s="529"/>
      <c r="EUX1" s="529"/>
      <c r="EUY1" s="530"/>
      <c r="EUZ1" s="529"/>
      <c r="EVA1" s="529"/>
      <c r="EVB1" s="529"/>
      <c r="EVC1" s="529"/>
      <c r="EVD1" s="529"/>
      <c r="EVE1" s="529"/>
      <c r="EVF1" s="529"/>
      <c r="EVG1" s="530"/>
      <c r="EVH1" s="529"/>
      <c r="EVI1" s="529"/>
      <c r="EVJ1" s="529"/>
      <c r="EVK1" s="529"/>
      <c r="EVL1" s="529"/>
      <c r="EVM1" s="529"/>
      <c r="EVN1" s="529"/>
      <c r="EVO1" s="530"/>
      <c r="EVP1" s="529"/>
      <c r="EVQ1" s="529"/>
      <c r="EVR1" s="529"/>
      <c r="EVS1" s="529"/>
      <c r="EVT1" s="529"/>
      <c r="EVU1" s="529"/>
      <c r="EVV1" s="529"/>
      <c r="EVW1" s="530"/>
      <c r="EVX1" s="529"/>
      <c r="EVY1" s="529"/>
      <c r="EVZ1" s="529"/>
      <c r="EWA1" s="529"/>
      <c r="EWB1" s="529"/>
      <c r="EWC1" s="529"/>
      <c r="EWD1" s="529"/>
      <c r="EWE1" s="530"/>
      <c r="EWF1" s="529"/>
      <c r="EWG1" s="529"/>
      <c r="EWH1" s="529"/>
      <c r="EWI1" s="529"/>
      <c r="EWJ1" s="529"/>
      <c r="EWK1" s="529"/>
      <c r="EWL1" s="529"/>
      <c r="EWM1" s="530"/>
      <c r="EWN1" s="529"/>
      <c r="EWO1" s="529"/>
      <c r="EWP1" s="529"/>
      <c r="EWQ1" s="529"/>
      <c r="EWR1" s="529"/>
      <c r="EWS1" s="529"/>
      <c r="EWT1" s="529"/>
      <c r="EWU1" s="530"/>
      <c r="EWV1" s="529"/>
      <c r="EWW1" s="529"/>
      <c r="EWX1" s="529"/>
      <c r="EWY1" s="529"/>
      <c r="EWZ1" s="529"/>
      <c r="EXA1" s="529"/>
      <c r="EXB1" s="529"/>
      <c r="EXC1" s="530"/>
      <c r="EXD1" s="529"/>
      <c r="EXE1" s="529"/>
      <c r="EXF1" s="529"/>
      <c r="EXG1" s="529"/>
      <c r="EXH1" s="529"/>
      <c r="EXI1" s="529"/>
      <c r="EXJ1" s="529"/>
      <c r="EXK1" s="530"/>
      <c r="EXL1" s="529"/>
      <c r="EXM1" s="529"/>
      <c r="EXN1" s="529"/>
      <c r="EXO1" s="529"/>
      <c r="EXP1" s="529"/>
      <c r="EXQ1" s="529"/>
      <c r="EXR1" s="529"/>
      <c r="EXS1" s="530"/>
      <c r="EXT1" s="529"/>
      <c r="EXU1" s="529"/>
      <c r="EXV1" s="529"/>
      <c r="EXW1" s="529"/>
      <c r="EXX1" s="529"/>
      <c r="EXY1" s="529"/>
      <c r="EXZ1" s="529"/>
      <c r="EYA1" s="530"/>
      <c r="EYB1" s="529"/>
      <c r="EYC1" s="529"/>
      <c r="EYD1" s="529"/>
      <c r="EYE1" s="529"/>
      <c r="EYF1" s="529"/>
      <c r="EYG1" s="529"/>
      <c r="EYH1" s="529"/>
      <c r="EYI1" s="530"/>
      <c r="EYJ1" s="529"/>
      <c r="EYK1" s="529"/>
      <c r="EYL1" s="529"/>
      <c r="EYM1" s="529"/>
      <c r="EYN1" s="529"/>
      <c r="EYO1" s="529"/>
      <c r="EYP1" s="529"/>
      <c r="EYQ1" s="530"/>
      <c r="EYR1" s="529"/>
      <c r="EYS1" s="529"/>
      <c r="EYT1" s="529"/>
      <c r="EYU1" s="529"/>
      <c r="EYV1" s="529"/>
      <c r="EYW1" s="529"/>
      <c r="EYX1" s="529"/>
      <c r="EYY1" s="530"/>
      <c r="EYZ1" s="529"/>
      <c r="EZA1" s="529"/>
      <c r="EZB1" s="529"/>
      <c r="EZC1" s="529"/>
      <c r="EZD1" s="529"/>
      <c r="EZE1" s="529"/>
      <c r="EZF1" s="529"/>
      <c r="EZG1" s="530"/>
      <c r="EZH1" s="529"/>
      <c r="EZI1" s="529"/>
      <c r="EZJ1" s="529"/>
      <c r="EZK1" s="529"/>
      <c r="EZL1" s="529"/>
      <c r="EZM1" s="529"/>
      <c r="EZN1" s="529"/>
      <c r="EZO1" s="530"/>
      <c r="EZP1" s="529"/>
      <c r="EZQ1" s="529"/>
      <c r="EZR1" s="529"/>
      <c r="EZS1" s="529"/>
      <c r="EZT1" s="529"/>
      <c r="EZU1" s="529"/>
      <c r="EZV1" s="529"/>
      <c r="EZW1" s="530"/>
      <c r="EZX1" s="529"/>
      <c r="EZY1" s="529"/>
      <c r="EZZ1" s="529"/>
      <c r="FAA1" s="529"/>
      <c r="FAB1" s="529"/>
      <c r="FAC1" s="529"/>
      <c r="FAD1" s="529"/>
      <c r="FAE1" s="530"/>
      <c r="FAF1" s="529"/>
      <c r="FAG1" s="529"/>
      <c r="FAH1" s="529"/>
      <c r="FAI1" s="529"/>
      <c r="FAJ1" s="529"/>
      <c r="FAK1" s="529"/>
      <c r="FAL1" s="529"/>
      <c r="FAM1" s="530"/>
      <c r="FAN1" s="529"/>
      <c r="FAO1" s="529"/>
      <c r="FAP1" s="529"/>
      <c r="FAQ1" s="529"/>
      <c r="FAR1" s="529"/>
      <c r="FAS1" s="529"/>
      <c r="FAT1" s="529"/>
      <c r="FAU1" s="530"/>
      <c r="FAV1" s="529"/>
      <c r="FAW1" s="529"/>
      <c r="FAX1" s="529"/>
      <c r="FAY1" s="529"/>
      <c r="FAZ1" s="529"/>
      <c r="FBA1" s="529"/>
      <c r="FBB1" s="529"/>
      <c r="FBC1" s="530"/>
      <c r="FBD1" s="529"/>
      <c r="FBE1" s="529"/>
      <c r="FBF1" s="529"/>
      <c r="FBG1" s="529"/>
      <c r="FBH1" s="529"/>
      <c r="FBI1" s="529"/>
      <c r="FBJ1" s="529"/>
      <c r="FBK1" s="530"/>
      <c r="FBL1" s="529"/>
      <c r="FBM1" s="529"/>
      <c r="FBN1" s="529"/>
      <c r="FBO1" s="529"/>
      <c r="FBP1" s="529"/>
      <c r="FBQ1" s="529"/>
      <c r="FBR1" s="529"/>
      <c r="FBS1" s="530"/>
      <c r="FBT1" s="529"/>
      <c r="FBU1" s="529"/>
      <c r="FBV1" s="529"/>
      <c r="FBW1" s="529"/>
      <c r="FBX1" s="529"/>
      <c r="FBY1" s="529"/>
      <c r="FBZ1" s="529"/>
      <c r="FCA1" s="530"/>
      <c r="FCB1" s="529"/>
      <c r="FCC1" s="529"/>
      <c r="FCD1" s="529"/>
      <c r="FCE1" s="529"/>
      <c r="FCF1" s="529"/>
      <c r="FCG1" s="529"/>
      <c r="FCH1" s="529"/>
      <c r="FCI1" s="530"/>
      <c r="FCJ1" s="529"/>
      <c r="FCK1" s="529"/>
      <c r="FCL1" s="529"/>
      <c r="FCM1" s="529"/>
      <c r="FCN1" s="529"/>
      <c r="FCO1" s="529"/>
      <c r="FCP1" s="529"/>
      <c r="FCQ1" s="530"/>
      <c r="FCR1" s="529"/>
      <c r="FCS1" s="529"/>
      <c r="FCT1" s="529"/>
      <c r="FCU1" s="529"/>
      <c r="FCV1" s="529"/>
      <c r="FCW1" s="529"/>
      <c r="FCX1" s="529"/>
      <c r="FCY1" s="530"/>
      <c r="FCZ1" s="529"/>
      <c r="FDA1" s="529"/>
      <c r="FDB1" s="529"/>
      <c r="FDC1" s="529"/>
      <c r="FDD1" s="529"/>
      <c r="FDE1" s="529"/>
      <c r="FDF1" s="529"/>
      <c r="FDG1" s="530"/>
      <c r="FDH1" s="529"/>
      <c r="FDI1" s="529"/>
      <c r="FDJ1" s="529"/>
      <c r="FDK1" s="529"/>
      <c r="FDL1" s="529"/>
      <c r="FDM1" s="529"/>
      <c r="FDN1" s="529"/>
      <c r="FDO1" s="530"/>
      <c r="FDP1" s="529"/>
      <c r="FDQ1" s="529"/>
      <c r="FDR1" s="529"/>
      <c r="FDS1" s="529"/>
      <c r="FDT1" s="529"/>
      <c r="FDU1" s="529"/>
      <c r="FDV1" s="529"/>
      <c r="FDW1" s="530"/>
      <c r="FDX1" s="529"/>
      <c r="FDY1" s="529"/>
      <c r="FDZ1" s="529"/>
      <c r="FEA1" s="529"/>
      <c r="FEB1" s="529"/>
      <c r="FEC1" s="529"/>
      <c r="FED1" s="529"/>
      <c r="FEE1" s="530"/>
      <c r="FEF1" s="529"/>
      <c r="FEG1" s="529"/>
      <c r="FEH1" s="529"/>
      <c r="FEI1" s="529"/>
      <c r="FEJ1" s="529"/>
      <c r="FEK1" s="529"/>
      <c r="FEL1" s="529"/>
      <c r="FEM1" s="530"/>
      <c r="FEN1" s="529"/>
      <c r="FEO1" s="529"/>
      <c r="FEP1" s="529"/>
      <c r="FEQ1" s="529"/>
      <c r="FER1" s="529"/>
      <c r="FES1" s="529"/>
      <c r="FET1" s="529"/>
      <c r="FEU1" s="530"/>
      <c r="FEV1" s="529"/>
      <c r="FEW1" s="529"/>
      <c r="FEX1" s="529"/>
      <c r="FEY1" s="529"/>
      <c r="FEZ1" s="529"/>
      <c r="FFA1" s="529"/>
      <c r="FFB1" s="529"/>
      <c r="FFC1" s="530"/>
      <c r="FFD1" s="529"/>
      <c r="FFE1" s="529"/>
      <c r="FFF1" s="529"/>
      <c r="FFG1" s="529"/>
      <c r="FFH1" s="529"/>
      <c r="FFI1" s="529"/>
      <c r="FFJ1" s="529"/>
      <c r="FFK1" s="530"/>
      <c r="FFL1" s="529"/>
      <c r="FFM1" s="529"/>
      <c r="FFN1" s="529"/>
      <c r="FFO1" s="529"/>
      <c r="FFP1" s="529"/>
      <c r="FFQ1" s="529"/>
      <c r="FFR1" s="529"/>
      <c r="FFS1" s="530"/>
      <c r="FFT1" s="529"/>
      <c r="FFU1" s="529"/>
      <c r="FFV1" s="529"/>
      <c r="FFW1" s="529"/>
      <c r="FFX1" s="529"/>
      <c r="FFY1" s="529"/>
      <c r="FFZ1" s="529"/>
      <c r="FGA1" s="530"/>
      <c r="FGB1" s="529"/>
      <c r="FGC1" s="529"/>
      <c r="FGD1" s="529"/>
      <c r="FGE1" s="529"/>
      <c r="FGF1" s="529"/>
      <c r="FGG1" s="529"/>
      <c r="FGH1" s="529"/>
      <c r="FGI1" s="530"/>
      <c r="FGJ1" s="529"/>
      <c r="FGK1" s="529"/>
      <c r="FGL1" s="529"/>
      <c r="FGM1" s="529"/>
      <c r="FGN1" s="529"/>
      <c r="FGO1" s="529"/>
      <c r="FGP1" s="529"/>
      <c r="FGQ1" s="530"/>
      <c r="FGR1" s="529"/>
      <c r="FGS1" s="529"/>
      <c r="FGT1" s="529"/>
      <c r="FGU1" s="529"/>
      <c r="FGV1" s="529"/>
      <c r="FGW1" s="529"/>
      <c r="FGX1" s="529"/>
      <c r="FGY1" s="530"/>
      <c r="FGZ1" s="529"/>
      <c r="FHA1" s="529"/>
      <c r="FHB1" s="529"/>
      <c r="FHC1" s="529"/>
      <c r="FHD1" s="529"/>
      <c r="FHE1" s="529"/>
      <c r="FHF1" s="529"/>
      <c r="FHG1" s="530"/>
      <c r="FHH1" s="529"/>
      <c r="FHI1" s="529"/>
      <c r="FHJ1" s="529"/>
      <c r="FHK1" s="529"/>
      <c r="FHL1" s="529"/>
      <c r="FHM1" s="529"/>
      <c r="FHN1" s="529"/>
      <c r="FHO1" s="530"/>
      <c r="FHP1" s="529"/>
      <c r="FHQ1" s="529"/>
      <c r="FHR1" s="529"/>
      <c r="FHS1" s="529"/>
      <c r="FHT1" s="529"/>
      <c r="FHU1" s="529"/>
      <c r="FHV1" s="529"/>
      <c r="FHW1" s="530"/>
      <c r="FHX1" s="529"/>
      <c r="FHY1" s="529"/>
      <c r="FHZ1" s="529"/>
      <c r="FIA1" s="529"/>
      <c r="FIB1" s="529"/>
      <c r="FIC1" s="529"/>
      <c r="FID1" s="529"/>
      <c r="FIE1" s="530"/>
      <c r="FIF1" s="529"/>
      <c r="FIG1" s="529"/>
      <c r="FIH1" s="529"/>
      <c r="FII1" s="529"/>
      <c r="FIJ1" s="529"/>
      <c r="FIK1" s="529"/>
      <c r="FIL1" s="529"/>
      <c r="FIM1" s="530"/>
      <c r="FIN1" s="529"/>
      <c r="FIO1" s="529"/>
      <c r="FIP1" s="529"/>
      <c r="FIQ1" s="529"/>
      <c r="FIR1" s="529"/>
      <c r="FIS1" s="529"/>
      <c r="FIT1" s="529"/>
      <c r="FIU1" s="530"/>
      <c r="FIV1" s="529"/>
      <c r="FIW1" s="529"/>
      <c r="FIX1" s="529"/>
      <c r="FIY1" s="529"/>
      <c r="FIZ1" s="529"/>
      <c r="FJA1" s="529"/>
      <c r="FJB1" s="529"/>
      <c r="FJC1" s="530"/>
      <c r="FJD1" s="529"/>
      <c r="FJE1" s="529"/>
      <c r="FJF1" s="529"/>
      <c r="FJG1" s="529"/>
      <c r="FJH1" s="529"/>
      <c r="FJI1" s="529"/>
      <c r="FJJ1" s="529"/>
      <c r="FJK1" s="530"/>
      <c r="FJL1" s="529"/>
      <c r="FJM1" s="529"/>
      <c r="FJN1" s="529"/>
      <c r="FJO1" s="529"/>
      <c r="FJP1" s="529"/>
      <c r="FJQ1" s="529"/>
      <c r="FJR1" s="529"/>
      <c r="FJS1" s="530"/>
      <c r="FJT1" s="529"/>
      <c r="FJU1" s="529"/>
      <c r="FJV1" s="529"/>
      <c r="FJW1" s="529"/>
      <c r="FJX1" s="529"/>
      <c r="FJY1" s="529"/>
      <c r="FJZ1" s="529"/>
      <c r="FKA1" s="530"/>
      <c r="FKB1" s="529"/>
      <c r="FKC1" s="529"/>
      <c r="FKD1" s="529"/>
      <c r="FKE1" s="529"/>
      <c r="FKF1" s="529"/>
      <c r="FKG1" s="529"/>
      <c r="FKH1" s="529"/>
      <c r="FKI1" s="530"/>
      <c r="FKJ1" s="529"/>
      <c r="FKK1" s="529"/>
      <c r="FKL1" s="529"/>
      <c r="FKM1" s="529"/>
      <c r="FKN1" s="529"/>
      <c r="FKO1" s="529"/>
      <c r="FKP1" s="529"/>
      <c r="FKQ1" s="530"/>
      <c r="FKR1" s="529"/>
      <c r="FKS1" s="529"/>
      <c r="FKT1" s="529"/>
      <c r="FKU1" s="529"/>
      <c r="FKV1" s="529"/>
      <c r="FKW1" s="529"/>
      <c r="FKX1" s="529"/>
      <c r="FKY1" s="530"/>
      <c r="FKZ1" s="529"/>
      <c r="FLA1" s="529"/>
      <c r="FLB1" s="529"/>
      <c r="FLC1" s="529"/>
      <c r="FLD1" s="529"/>
      <c r="FLE1" s="529"/>
      <c r="FLF1" s="529"/>
      <c r="FLG1" s="530"/>
      <c r="FLH1" s="529"/>
      <c r="FLI1" s="529"/>
      <c r="FLJ1" s="529"/>
      <c r="FLK1" s="529"/>
      <c r="FLL1" s="529"/>
      <c r="FLM1" s="529"/>
      <c r="FLN1" s="529"/>
      <c r="FLO1" s="530"/>
      <c r="FLP1" s="529"/>
      <c r="FLQ1" s="529"/>
      <c r="FLR1" s="529"/>
      <c r="FLS1" s="529"/>
      <c r="FLT1" s="529"/>
      <c r="FLU1" s="529"/>
      <c r="FLV1" s="529"/>
      <c r="FLW1" s="530"/>
      <c r="FLX1" s="529"/>
      <c r="FLY1" s="529"/>
      <c r="FLZ1" s="529"/>
      <c r="FMA1" s="529"/>
      <c r="FMB1" s="529"/>
      <c r="FMC1" s="529"/>
      <c r="FMD1" s="529"/>
      <c r="FME1" s="530"/>
      <c r="FMF1" s="529"/>
      <c r="FMG1" s="529"/>
      <c r="FMH1" s="529"/>
      <c r="FMI1" s="529"/>
      <c r="FMJ1" s="529"/>
      <c r="FMK1" s="529"/>
      <c r="FML1" s="529"/>
      <c r="FMM1" s="530"/>
      <c r="FMN1" s="529"/>
      <c r="FMO1" s="529"/>
      <c r="FMP1" s="529"/>
      <c r="FMQ1" s="529"/>
      <c r="FMR1" s="529"/>
      <c r="FMS1" s="529"/>
      <c r="FMT1" s="529"/>
      <c r="FMU1" s="530"/>
      <c r="FMV1" s="529"/>
      <c r="FMW1" s="529"/>
      <c r="FMX1" s="529"/>
      <c r="FMY1" s="529"/>
      <c r="FMZ1" s="529"/>
      <c r="FNA1" s="529"/>
      <c r="FNB1" s="529"/>
      <c r="FNC1" s="530"/>
      <c r="FND1" s="529"/>
      <c r="FNE1" s="529"/>
      <c r="FNF1" s="529"/>
      <c r="FNG1" s="529"/>
      <c r="FNH1" s="529"/>
      <c r="FNI1" s="529"/>
      <c r="FNJ1" s="529"/>
      <c r="FNK1" s="530"/>
      <c r="FNL1" s="529"/>
      <c r="FNM1" s="529"/>
      <c r="FNN1" s="529"/>
      <c r="FNO1" s="529"/>
      <c r="FNP1" s="529"/>
      <c r="FNQ1" s="529"/>
      <c r="FNR1" s="529"/>
      <c r="FNS1" s="530"/>
      <c r="FNT1" s="529"/>
      <c r="FNU1" s="529"/>
      <c r="FNV1" s="529"/>
      <c r="FNW1" s="529"/>
      <c r="FNX1" s="529"/>
      <c r="FNY1" s="529"/>
      <c r="FNZ1" s="529"/>
      <c r="FOA1" s="530"/>
      <c r="FOB1" s="529"/>
      <c r="FOC1" s="529"/>
      <c r="FOD1" s="529"/>
      <c r="FOE1" s="529"/>
      <c r="FOF1" s="529"/>
      <c r="FOG1" s="529"/>
      <c r="FOH1" s="529"/>
      <c r="FOI1" s="530"/>
      <c r="FOJ1" s="529"/>
      <c r="FOK1" s="529"/>
      <c r="FOL1" s="529"/>
      <c r="FOM1" s="529"/>
      <c r="FON1" s="529"/>
      <c r="FOO1" s="529"/>
      <c r="FOP1" s="529"/>
      <c r="FOQ1" s="530"/>
      <c r="FOR1" s="529"/>
      <c r="FOS1" s="529"/>
      <c r="FOT1" s="529"/>
      <c r="FOU1" s="529"/>
      <c r="FOV1" s="529"/>
      <c r="FOW1" s="529"/>
      <c r="FOX1" s="529"/>
      <c r="FOY1" s="530"/>
      <c r="FOZ1" s="529"/>
      <c r="FPA1" s="529"/>
      <c r="FPB1" s="529"/>
      <c r="FPC1" s="529"/>
      <c r="FPD1" s="529"/>
      <c r="FPE1" s="529"/>
      <c r="FPF1" s="529"/>
      <c r="FPG1" s="530"/>
      <c r="FPH1" s="529"/>
      <c r="FPI1" s="529"/>
      <c r="FPJ1" s="529"/>
      <c r="FPK1" s="529"/>
      <c r="FPL1" s="529"/>
      <c r="FPM1" s="529"/>
      <c r="FPN1" s="529"/>
      <c r="FPO1" s="530"/>
      <c r="FPP1" s="529"/>
      <c r="FPQ1" s="529"/>
      <c r="FPR1" s="529"/>
      <c r="FPS1" s="529"/>
      <c r="FPT1" s="529"/>
      <c r="FPU1" s="529"/>
      <c r="FPV1" s="529"/>
      <c r="FPW1" s="530"/>
      <c r="FPX1" s="529"/>
      <c r="FPY1" s="529"/>
      <c r="FPZ1" s="529"/>
      <c r="FQA1" s="529"/>
      <c r="FQB1" s="529"/>
      <c r="FQC1" s="529"/>
      <c r="FQD1" s="529"/>
      <c r="FQE1" s="530"/>
      <c r="FQF1" s="529"/>
      <c r="FQG1" s="529"/>
      <c r="FQH1" s="529"/>
      <c r="FQI1" s="529"/>
      <c r="FQJ1" s="529"/>
      <c r="FQK1" s="529"/>
      <c r="FQL1" s="529"/>
      <c r="FQM1" s="530"/>
      <c r="FQN1" s="529"/>
      <c r="FQO1" s="529"/>
      <c r="FQP1" s="529"/>
      <c r="FQQ1" s="529"/>
      <c r="FQR1" s="529"/>
      <c r="FQS1" s="529"/>
      <c r="FQT1" s="529"/>
      <c r="FQU1" s="530"/>
      <c r="FQV1" s="529"/>
      <c r="FQW1" s="529"/>
      <c r="FQX1" s="529"/>
      <c r="FQY1" s="529"/>
      <c r="FQZ1" s="529"/>
      <c r="FRA1" s="529"/>
      <c r="FRB1" s="529"/>
      <c r="FRC1" s="530"/>
      <c r="FRD1" s="529"/>
      <c r="FRE1" s="529"/>
      <c r="FRF1" s="529"/>
      <c r="FRG1" s="529"/>
      <c r="FRH1" s="529"/>
      <c r="FRI1" s="529"/>
      <c r="FRJ1" s="529"/>
      <c r="FRK1" s="530"/>
      <c r="FRL1" s="529"/>
      <c r="FRM1" s="529"/>
      <c r="FRN1" s="529"/>
      <c r="FRO1" s="529"/>
      <c r="FRP1" s="529"/>
      <c r="FRQ1" s="529"/>
      <c r="FRR1" s="529"/>
      <c r="FRS1" s="530"/>
      <c r="FRT1" s="529"/>
      <c r="FRU1" s="529"/>
      <c r="FRV1" s="529"/>
      <c r="FRW1" s="529"/>
      <c r="FRX1" s="529"/>
      <c r="FRY1" s="529"/>
      <c r="FRZ1" s="529"/>
      <c r="FSA1" s="530"/>
      <c r="FSB1" s="529"/>
      <c r="FSC1" s="529"/>
      <c r="FSD1" s="529"/>
      <c r="FSE1" s="529"/>
      <c r="FSF1" s="529"/>
      <c r="FSG1" s="529"/>
      <c r="FSH1" s="529"/>
      <c r="FSI1" s="530"/>
      <c r="FSJ1" s="529"/>
      <c r="FSK1" s="529"/>
      <c r="FSL1" s="529"/>
      <c r="FSM1" s="529"/>
      <c r="FSN1" s="529"/>
      <c r="FSO1" s="529"/>
      <c r="FSP1" s="529"/>
      <c r="FSQ1" s="530"/>
      <c r="FSR1" s="529"/>
      <c r="FSS1" s="529"/>
      <c r="FST1" s="529"/>
      <c r="FSU1" s="529"/>
      <c r="FSV1" s="529"/>
      <c r="FSW1" s="529"/>
      <c r="FSX1" s="529"/>
      <c r="FSY1" s="530"/>
      <c r="FSZ1" s="529"/>
      <c r="FTA1" s="529"/>
      <c r="FTB1" s="529"/>
      <c r="FTC1" s="529"/>
      <c r="FTD1" s="529"/>
      <c r="FTE1" s="529"/>
      <c r="FTF1" s="529"/>
      <c r="FTG1" s="530"/>
      <c r="FTH1" s="529"/>
      <c r="FTI1" s="529"/>
      <c r="FTJ1" s="529"/>
      <c r="FTK1" s="529"/>
      <c r="FTL1" s="529"/>
      <c r="FTM1" s="529"/>
      <c r="FTN1" s="529"/>
      <c r="FTO1" s="530"/>
      <c r="FTP1" s="529"/>
      <c r="FTQ1" s="529"/>
      <c r="FTR1" s="529"/>
      <c r="FTS1" s="529"/>
      <c r="FTT1" s="529"/>
      <c r="FTU1" s="529"/>
      <c r="FTV1" s="529"/>
      <c r="FTW1" s="530"/>
      <c r="FTX1" s="529"/>
      <c r="FTY1" s="529"/>
      <c r="FTZ1" s="529"/>
      <c r="FUA1" s="529"/>
      <c r="FUB1" s="529"/>
      <c r="FUC1" s="529"/>
      <c r="FUD1" s="529"/>
      <c r="FUE1" s="530"/>
      <c r="FUF1" s="529"/>
      <c r="FUG1" s="529"/>
      <c r="FUH1" s="529"/>
      <c r="FUI1" s="529"/>
      <c r="FUJ1" s="529"/>
      <c r="FUK1" s="529"/>
      <c r="FUL1" s="529"/>
      <c r="FUM1" s="530"/>
      <c r="FUN1" s="529"/>
      <c r="FUO1" s="529"/>
      <c r="FUP1" s="529"/>
      <c r="FUQ1" s="529"/>
      <c r="FUR1" s="529"/>
      <c r="FUS1" s="529"/>
      <c r="FUT1" s="529"/>
      <c r="FUU1" s="530"/>
      <c r="FUV1" s="529"/>
      <c r="FUW1" s="529"/>
      <c r="FUX1" s="529"/>
      <c r="FUY1" s="529"/>
      <c r="FUZ1" s="529"/>
      <c r="FVA1" s="529"/>
      <c r="FVB1" s="529"/>
      <c r="FVC1" s="530"/>
      <c r="FVD1" s="529"/>
      <c r="FVE1" s="529"/>
      <c r="FVF1" s="529"/>
      <c r="FVG1" s="529"/>
      <c r="FVH1" s="529"/>
      <c r="FVI1" s="529"/>
      <c r="FVJ1" s="529"/>
      <c r="FVK1" s="530"/>
      <c r="FVL1" s="529"/>
      <c r="FVM1" s="529"/>
      <c r="FVN1" s="529"/>
      <c r="FVO1" s="529"/>
      <c r="FVP1" s="529"/>
      <c r="FVQ1" s="529"/>
      <c r="FVR1" s="529"/>
      <c r="FVS1" s="530"/>
      <c r="FVT1" s="529"/>
      <c r="FVU1" s="529"/>
      <c r="FVV1" s="529"/>
      <c r="FVW1" s="529"/>
      <c r="FVX1" s="529"/>
      <c r="FVY1" s="529"/>
      <c r="FVZ1" s="529"/>
      <c r="FWA1" s="530"/>
      <c r="FWB1" s="529"/>
      <c r="FWC1" s="529"/>
      <c r="FWD1" s="529"/>
      <c r="FWE1" s="529"/>
      <c r="FWF1" s="529"/>
      <c r="FWG1" s="529"/>
      <c r="FWH1" s="529"/>
      <c r="FWI1" s="530"/>
      <c r="FWJ1" s="529"/>
      <c r="FWK1" s="529"/>
      <c r="FWL1" s="529"/>
      <c r="FWM1" s="529"/>
      <c r="FWN1" s="529"/>
      <c r="FWO1" s="529"/>
      <c r="FWP1" s="529"/>
      <c r="FWQ1" s="530"/>
      <c r="FWR1" s="529"/>
      <c r="FWS1" s="529"/>
      <c r="FWT1" s="529"/>
      <c r="FWU1" s="529"/>
      <c r="FWV1" s="529"/>
      <c r="FWW1" s="529"/>
      <c r="FWX1" s="529"/>
      <c r="FWY1" s="530"/>
      <c r="FWZ1" s="529"/>
      <c r="FXA1" s="529"/>
      <c r="FXB1" s="529"/>
      <c r="FXC1" s="529"/>
      <c r="FXD1" s="529"/>
      <c r="FXE1" s="529"/>
      <c r="FXF1" s="529"/>
      <c r="FXG1" s="530"/>
      <c r="FXH1" s="529"/>
      <c r="FXI1" s="529"/>
      <c r="FXJ1" s="529"/>
      <c r="FXK1" s="529"/>
      <c r="FXL1" s="529"/>
      <c r="FXM1" s="529"/>
      <c r="FXN1" s="529"/>
      <c r="FXO1" s="530"/>
      <c r="FXP1" s="529"/>
      <c r="FXQ1" s="529"/>
      <c r="FXR1" s="529"/>
      <c r="FXS1" s="529"/>
      <c r="FXT1" s="529"/>
      <c r="FXU1" s="529"/>
      <c r="FXV1" s="529"/>
      <c r="FXW1" s="530"/>
      <c r="FXX1" s="529"/>
      <c r="FXY1" s="529"/>
      <c r="FXZ1" s="529"/>
      <c r="FYA1" s="529"/>
      <c r="FYB1" s="529"/>
      <c r="FYC1" s="529"/>
      <c r="FYD1" s="529"/>
      <c r="FYE1" s="530"/>
      <c r="FYF1" s="529"/>
      <c r="FYG1" s="529"/>
      <c r="FYH1" s="529"/>
      <c r="FYI1" s="529"/>
      <c r="FYJ1" s="529"/>
      <c r="FYK1" s="529"/>
      <c r="FYL1" s="529"/>
      <c r="FYM1" s="530"/>
      <c r="FYN1" s="529"/>
      <c r="FYO1" s="529"/>
      <c r="FYP1" s="529"/>
      <c r="FYQ1" s="529"/>
      <c r="FYR1" s="529"/>
      <c r="FYS1" s="529"/>
      <c r="FYT1" s="529"/>
      <c r="FYU1" s="530"/>
      <c r="FYV1" s="529"/>
      <c r="FYW1" s="529"/>
      <c r="FYX1" s="529"/>
      <c r="FYY1" s="529"/>
      <c r="FYZ1" s="529"/>
      <c r="FZA1" s="529"/>
      <c r="FZB1" s="529"/>
      <c r="FZC1" s="530"/>
      <c r="FZD1" s="529"/>
      <c r="FZE1" s="529"/>
      <c r="FZF1" s="529"/>
      <c r="FZG1" s="529"/>
      <c r="FZH1" s="529"/>
      <c r="FZI1" s="529"/>
      <c r="FZJ1" s="529"/>
      <c r="FZK1" s="530"/>
      <c r="FZL1" s="529"/>
      <c r="FZM1" s="529"/>
      <c r="FZN1" s="529"/>
      <c r="FZO1" s="529"/>
      <c r="FZP1" s="529"/>
      <c r="FZQ1" s="529"/>
      <c r="FZR1" s="529"/>
      <c r="FZS1" s="530"/>
      <c r="FZT1" s="529"/>
      <c r="FZU1" s="529"/>
      <c r="FZV1" s="529"/>
      <c r="FZW1" s="529"/>
      <c r="FZX1" s="529"/>
      <c r="FZY1" s="529"/>
      <c r="FZZ1" s="529"/>
      <c r="GAA1" s="530"/>
      <c r="GAB1" s="529"/>
      <c r="GAC1" s="529"/>
      <c r="GAD1" s="529"/>
      <c r="GAE1" s="529"/>
      <c r="GAF1" s="529"/>
      <c r="GAG1" s="529"/>
      <c r="GAH1" s="529"/>
      <c r="GAI1" s="530"/>
      <c r="GAJ1" s="529"/>
      <c r="GAK1" s="529"/>
      <c r="GAL1" s="529"/>
      <c r="GAM1" s="529"/>
      <c r="GAN1" s="529"/>
      <c r="GAO1" s="529"/>
      <c r="GAP1" s="529"/>
      <c r="GAQ1" s="530"/>
      <c r="GAR1" s="529"/>
      <c r="GAS1" s="529"/>
      <c r="GAT1" s="529"/>
      <c r="GAU1" s="529"/>
      <c r="GAV1" s="529"/>
      <c r="GAW1" s="529"/>
      <c r="GAX1" s="529"/>
      <c r="GAY1" s="530"/>
      <c r="GAZ1" s="529"/>
      <c r="GBA1" s="529"/>
      <c r="GBB1" s="529"/>
      <c r="GBC1" s="529"/>
      <c r="GBD1" s="529"/>
      <c r="GBE1" s="529"/>
      <c r="GBF1" s="529"/>
      <c r="GBG1" s="530"/>
      <c r="GBH1" s="529"/>
      <c r="GBI1" s="529"/>
      <c r="GBJ1" s="529"/>
      <c r="GBK1" s="529"/>
      <c r="GBL1" s="529"/>
      <c r="GBM1" s="529"/>
      <c r="GBN1" s="529"/>
      <c r="GBO1" s="530"/>
      <c r="GBP1" s="529"/>
      <c r="GBQ1" s="529"/>
      <c r="GBR1" s="529"/>
      <c r="GBS1" s="529"/>
      <c r="GBT1" s="529"/>
      <c r="GBU1" s="529"/>
      <c r="GBV1" s="529"/>
      <c r="GBW1" s="530"/>
      <c r="GBX1" s="529"/>
      <c r="GBY1" s="529"/>
      <c r="GBZ1" s="529"/>
      <c r="GCA1" s="529"/>
      <c r="GCB1" s="529"/>
      <c r="GCC1" s="529"/>
      <c r="GCD1" s="529"/>
      <c r="GCE1" s="530"/>
      <c r="GCF1" s="529"/>
      <c r="GCG1" s="529"/>
      <c r="GCH1" s="529"/>
      <c r="GCI1" s="529"/>
      <c r="GCJ1" s="529"/>
      <c r="GCK1" s="529"/>
      <c r="GCL1" s="529"/>
      <c r="GCM1" s="530"/>
      <c r="GCN1" s="529"/>
      <c r="GCO1" s="529"/>
      <c r="GCP1" s="529"/>
      <c r="GCQ1" s="529"/>
      <c r="GCR1" s="529"/>
      <c r="GCS1" s="529"/>
      <c r="GCT1" s="529"/>
      <c r="GCU1" s="530"/>
      <c r="GCV1" s="529"/>
      <c r="GCW1" s="529"/>
      <c r="GCX1" s="529"/>
      <c r="GCY1" s="529"/>
      <c r="GCZ1" s="529"/>
      <c r="GDA1" s="529"/>
      <c r="GDB1" s="529"/>
      <c r="GDC1" s="530"/>
      <c r="GDD1" s="529"/>
      <c r="GDE1" s="529"/>
      <c r="GDF1" s="529"/>
      <c r="GDG1" s="529"/>
      <c r="GDH1" s="529"/>
      <c r="GDI1" s="529"/>
      <c r="GDJ1" s="529"/>
      <c r="GDK1" s="530"/>
      <c r="GDL1" s="529"/>
      <c r="GDM1" s="529"/>
      <c r="GDN1" s="529"/>
      <c r="GDO1" s="529"/>
      <c r="GDP1" s="529"/>
      <c r="GDQ1" s="529"/>
      <c r="GDR1" s="529"/>
      <c r="GDS1" s="530"/>
      <c r="GDT1" s="529"/>
      <c r="GDU1" s="529"/>
      <c r="GDV1" s="529"/>
      <c r="GDW1" s="529"/>
      <c r="GDX1" s="529"/>
      <c r="GDY1" s="529"/>
      <c r="GDZ1" s="529"/>
      <c r="GEA1" s="530"/>
      <c r="GEB1" s="529"/>
      <c r="GEC1" s="529"/>
      <c r="GED1" s="529"/>
      <c r="GEE1" s="529"/>
      <c r="GEF1" s="529"/>
      <c r="GEG1" s="529"/>
      <c r="GEH1" s="529"/>
      <c r="GEI1" s="530"/>
      <c r="GEJ1" s="529"/>
      <c r="GEK1" s="529"/>
      <c r="GEL1" s="529"/>
      <c r="GEM1" s="529"/>
      <c r="GEN1" s="529"/>
      <c r="GEO1" s="529"/>
      <c r="GEP1" s="529"/>
      <c r="GEQ1" s="530"/>
      <c r="GER1" s="529"/>
      <c r="GES1" s="529"/>
      <c r="GET1" s="529"/>
      <c r="GEU1" s="529"/>
      <c r="GEV1" s="529"/>
      <c r="GEW1" s="529"/>
      <c r="GEX1" s="529"/>
      <c r="GEY1" s="530"/>
      <c r="GEZ1" s="529"/>
      <c r="GFA1" s="529"/>
      <c r="GFB1" s="529"/>
      <c r="GFC1" s="529"/>
      <c r="GFD1" s="529"/>
      <c r="GFE1" s="529"/>
      <c r="GFF1" s="529"/>
      <c r="GFG1" s="530"/>
      <c r="GFH1" s="529"/>
      <c r="GFI1" s="529"/>
      <c r="GFJ1" s="529"/>
      <c r="GFK1" s="529"/>
      <c r="GFL1" s="529"/>
      <c r="GFM1" s="529"/>
      <c r="GFN1" s="529"/>
      <c r="GFO1" s="530"/>
      <c r="GFP1" s="529"/>
      <c r="GFQ1" s="529"/>
      <c r="GFR1" s="529"/>
      <c r="GFS1" s="529"/>
      <c r="GFT1" s="529"/>
      <c r="GFU1" s="529"/>
      <c r="GFV1" s="529"/>
      <c r="GFW1" s="530"/>
      <c r="GFX1" s="529"/>
      <c r="GFY1" s="529"/>
      <c r="GFZ1" s="529"/>
      <c r="GGA1" s="529"/>
      <c r="GGB1" s="529"/>
      <c r="GGC1" s="529"/>
      <c r="GGD1" s="529"/>
      <c r="GGE1" s="530"/>
      <c r="GGF1" s="529"/>
      <c r="GGG1" s="529"/>
      <c r="GGH1" s="529"/>
      <c r="GGI1" s="529"/>
      <c r="GGJ1" s="529"/>
      <c r="GGK1" s="529"/>
      <c r="GGL1" s="529"/>
      <c r="GGM1" s="530"/>
      <c r="GGN1" s="529"/>
      <c r="GGO1" s="529"/>
      <c r="GGP1" s="529"/>
      <c r="GGQ1" s="529"/>
      <c r="GGR1" s="529"/>
      <c r="GGS1" s="529"/>
      <c r="GGT1" s="529"/>
      <c r="GGU1" s="530"/>
      <c r="GGV1" s="529"/>
      <c r="GGW1" s="529"/>
      <c r="GGX1" s="529"/>
      <c r="GGY1" s="529"/>
      <c r="GGZ1" s="529"/>
      <c r="GHA1" s="529"/>
      <c r="GHB1" s="529"/>
      <c r="GHC1" s="530"/>
      <c r="GHD1" s="529"/>
      <c r="GHE1" s="529"/>
      <c r="GHF1" s="529"/>
      <c r="GHG1" s="529"/>
      <c r="GHH1" s="529"/>
      <c r="GHI1" s="529"/>
      <c r="GHJ1" s="529"/>
      <c r="GHK1" s="530"/>
      <c r="GHL1" s="529"/>
      <c r="GHM1" s="529"/>
      <c r="GHN1" s="529"/>
      <c r="GHO1" s="529"/>
      <c r="GHP1" s="529"/>
      <c r="GHQ1" s="529"/>
      <c r="GHR1" s="529"/>
      <c r="GHS1" s="530"/>
      <c r="GHT1" s="529"/>
      <c r="GHU1" s="529"/>
      <c r="GHV1" s="529"/>
      <c r="GHW1" s="529"/>
      <c r="GHX1" s="529"/>
      <c r="GHY1" s="529"/>
      <c r="GHZ1" s="529"/>
      <c r="GIA1" s="530"/>
      <c r="GIB1" s="529"/>
      <c r="GIC1" s="529"/>
      <c r="GID1" s="529"/>
      <c r="GIE1" s="529"/>
      <c r="GIF1" s="529"/>
      <c r="GIG1" s="529"/>
      <c r="GIH1" s="529"/>
      <c r="GII1" s="530"/>
      <c r="GIJ1" s="529"/>
      <c r="GIK1" s="529"/>
      <c r="GIL1" s="529"/>
      <c r="GIM1" s="529"/>
      <c r="GIN1" s="529"/>
      <c r="GIO1" s="529"/>
      <c r="GIP1" s="529"/>
      <c r="GIQ1" s="530"/>
      <c r="GIR1" s="529"/>
      <c r="GIS1" s="529"/>
      <c r="GIT1" s="529"/>
      <c r="GIU1" s="529"/>
      <c r="GIV1" s="529"/>
      <c r="GIW1" s="529"/>
      <c r="GIX1" s="529"/>
      <c r="GIY1" s="530"/>
      <c r="GIZ1" s="529"/>
      <c r="GJA1" s="529"/>
      <c r="GJB1" s="529"/>
      <c r="GJC1" s="529"/>
      <c r="GJD1" s="529"/>
      <c r="GJE1" s="529"/>
      <c r="GJF1" s="529"/>
      <c r="GJG1" s="530"/>
      <c r="GJH1" s="529"/>
      <c r="GJI1" s="529"/>
      <c r="GJJ1" s="529"/>
      <c r="GJK1" s="529"/>
      <c r="GJL1" s="529"/>
      <c r="GJM1" s="529"/>
      <c r="GJN1" s="529"/>
      <c r="GJO1" s="530"/>
      <c r="GJP1" s="529"/>
      <c r="GJQ1" s="529"/>
      <c r="GJR1" s="529"/>
      <c r="GJS1" s="529"/>
      <c r="GJT1" s="529"/>
      <c r="GJU1" s="529"/>
      <c r="GJV1" s="529"/>
      <c r="GJW1" s="530"/>
      <c r="GJX1" s="529"/>
      <c r="GJY1" s="529"/>
      <c r="GJZ1" s="529"/>
      <c r="GKA1" s="529"/>
      <c r="GKB1" s="529"/>
      <c r="GKC1" s="529"/>
      <c r="GKD1" s="529"/>
      <c r="GKE1" s="530"/>
      <c r="GKF1" s="529"/>
      <c r="GKG1" s="529"/>
      <c r="GKH1" s="529"/>
      <c r="GKI1" s="529"/>
      <c r="GKJ1" s="529"/>
      <c r="GKK1" s="529"/>
      <c r="GKL1" s="529"/>
      <c r="GKM1" s="530"/>
      <c r="GKN1" s="529"/>
      <c r="GKO1" s="529"/>
      <c r="GKP1" s="529"/>
      <c r="GKQ1" s="529"/>
      <c r="GKR1" s="529"/>
      <c r="GKS1" s="529"/>
      <c r="GKT1" s="529"/>
      <c r="GKU1" s="530"/>
      <c r="GKV1" s="529"/>
      <c r="GKW1" s="529"/>
      <c r="GKX1" s="529"/>
      <c r="GKY1" s="529"/>
      <c r="GKZ1" s="529"/>
      <c r="GLA1" s="529"/>
      <c r="GLB1" s="529"/>
      <c r="GLC1" s="530"/>
      <c r="GLD1" s="529"/>
      <c r="GLE1" s="529"/>
      <c r="GLF1" s="529"/>
      <c r="GLG1" s="529"/>
      <c r="GLH1" s="529"/>
      <c r="GLI1" s="529"/>
      <c r="GLJ1" s="529"/>
      <c r="GLK1" s="530"/>
      <c r="GLL1" s="529"/>
      <c r="GLM1" s="529"/>
      <c r="GLN1" s="529"/>
      <c r="GLO1" s="529"/>
      <c r="GLP1" s="529"/>
      <c r="GLQ1" s="529"/>
      <c r="GLR1" s="529"/>
      <c r="GLS1" s="530"/>
      <c r="GLT1" s="529"/>
      <c r="GLU1" s="529"/>
      <c r="GLV1" s="529"/>
      <c r="GLW1" s="529"/>
      <c r="GLX1" s="529"/>
      <c r="GLY1" s="529"/>
      <c r="GLZ1" s="529"/>
      <c r="GMA1" s="530"/>
      <c r="GMB1" s="529"/>
      <c r="GMC1" s="529"/>
      <c r="GMD1" s="529"/>
      <c r="GME1" s="529"/>
      <c r="GMF1" s="529"/>
      <c r="GMG1" s="529"/>
      <c r="GMH1" s="529"/>
      <c r="GMI1" s="530"/>
      <c r="GMJ1" s="529"/>
      <c r="GMK1" s="529"/>
      <c r="GML1" s="529"/>
      <c r="GMM1" s="529"/>
      <c r="GMN1" s="529"/>
      <c r="GMO1" s="529"/>
      <c r="GMP1" s="529"/>
      <c r="GMQ1" s="530"/>
      <c r="GMR1" s="529"/>
      <c r="GMS1" s="529"/>
      <c r="GMT1" s="529"/>
      <c r="GMU1" s="529"/>
      <c r="GMV1" s="529"/>
      <c r="GMW1" s="529"/>
      <c r="GMX1" s="529"/>
      <c r="GMY1" s="530"/>
      <c r="GMZ1" s="529"/>
      <c r="GNA1" s="529"/>
      <c r="GNB1" s="529"/>
      <c r="GNC1" s="529"/>
      <c r="GND1" s="529"/>
      <c r="GNE1" s="529"/>
      <c r="GNF1" s="529"/>
      <c r="GNG1" s="530"/>
      <c r="GNH1" s="529"/>
      <c r="GNI1" s="529"/>
      <c r="GNJ1" s="529"/>
      <c r="GNK1" s="529"/>
      <c r="GNL1" s="529"/>
      <c r="GNM1" s="529"/>
      <c r="GNN1" s="529"/>
      <c r="GNO1" s="530"/>
      <c r="GNP1" s="529"/>
      <c r="GNQ1" s="529"/>
      <c r="GNR1" s="529"/>
      <c r="GNS1" s="529"/>
      <c r="GNT1" s="529"/>
      <c r="GNU1" s="529"/>
      <c r="GNV1" s="529"/>
      <c r="GNW1" s="530"/>
      <c r="GNX1" s="529"/>
      <c r="GNY1" s="529"/>
      <c r="GNZ1" s="529"/>
      <c r="GOA1" s="529"/>
      <c r="GOB1" s="529"/>
      <c r="GOC1" s="529"/>
      <c r="GOD1" s="529"/>
      <c r="GOE1" s="530"/>
      <c r="GOF1" s="529"/>
      <c r="GOG1" s="529"/>
      <c r="GOH1" s="529"/>
      <c r="GOI1" s="529"/>
      <c r="GOJ1" s="529"/>
      <c r="GOK1" s="529"/>
      <c r="GOL1" s="529"/>
      <c r="GOM1" s="530"/>
      <c r="GON1" s="529"/>
      <c r="GOO1" s="529"/>
      <c r="GOP1" s="529"/>
      <c r="GOQ1" s="529"/>
      <c r="GOR1" s="529"/>
      <c r="GOS1" s="529"/>
      <c r="GOT1" s="529"/>
      <c r="GOU1" s="530"/>
      <c r="GOV1" s="529"/>
      <c r="GOW1" s="529"/>
      <c r="GOX1" s="529"/>
      <c r="GOY1" s="529"/>
      <c r="GOZ1" s="529"/>
      <c r="GPA1" s="529"/>
      <c r="GPB1" s="529"/>
      <c r="GPC1" s="530"/>
      <c r="GPD1" s="529"/>
      <c r="GPE1" s="529"/>
      <c r="GPF1" s="529"/>
      <c r="GPG1" s="529"/>
      <c r="GPH1" s="529"/>
      <c r="GPI1" s="529"/>
      <c r="GPJ1" s="529"/>
      <c r="GPK1" s="530"/>
      <c r="GPL1" s="529"/>
      <c r="GPM1" s="529"/>
      <c r="GPN1" s="529"/>
      <c r="GPO1" s="529"/>
      <c r="GPP1" s="529"/>
      <c r="GPQ1" s="529"/>
      <c r="GPR1" s="529"/>
      <c r="GPS1" s="530"/>
      <c r="GPT1" s="529"/>
      <c r="GPU1" s="529"/>
      <c r="GPV1" s="529"/>
      <c r="GPW1" s="529"/>
      <c r="GPX1" s="529"/>
      <c r="GPY1" s="529"/>
      <c r="GPZ1" s="529"/>
      <c r="GQA1" s="530"/>
      <c r="GQB1" s="529"/>
      <c r="GQC1" s="529"/>
      <c r="GQD1" s="529"/>
      <c r="GQE1" s="529"/>
      <c r="GQF1" s="529"/>
      <c r="GQG1" s="529"/>
      <c r="GQH1" s="529"/>
      <c r="GQI1" s="530"/>
      <c r="GQJ1" s="529"/>
      <c r="GQK1" s="529"/>
      <c r="GQL1" s="529"/>
      <c r="GQM1" s="529"/>
      <c r="GQN1" s="529"/>
      <c r="GQO1" s="529"/>
      <c r="GQP1" s="529"/>
      <c r="GQQ1" s="530"/>
      <c r="GQR1" s="529"/>
      <c r="GQS1" s="529"/>
      <c r="GQT1" s="529"/>
      <c r="GQU1" s="529"/>
      <c r="GQV1" s="529"/>
      <c r="GQW1" s="529"/>
      <c r="GQX1" s="529"/>
      <c r="GQY1" s="530"/>
      <c r="GQZ1" s="529"/>
      <c r="GRA1" s="529"/>
      <c r="GRB1" s="529"/>
      <c r="GRC1" s="529"/>
      <c r="GRD1" s="529"/>
      <c r="GRE1" s="529"/>
      <c r="GRF1" s="529"/>
      <c r="GRG1" s="530"/>
      <c r="GRH1" s="529"/>
      <c r="GRI1" s="529"/>
      <c r="GRJ1" s="529"/>
      <c r="GRK1" s="529"/>
      <c r="GRL1" s="529"/>
      <c r="GRM1" s="529"/>
      <c r="GRN1" s="529"/>
      <c r="GRO1" s="530"/>
      <c r="GRP1" s="529"/>
      <c r="GRQ1" s="529"/>
      <c r="GRR1" s="529"/>
      <c r="GRS1" s="529"/>
      <c r="GRT1" s="529"/>
      <c r="GRU1" s="529"/>
      <c r="GRV1" s="529"/>
      <c r="GRW1" s="530"/>
      <c r="GRX1" s="529"/>
      <c r="GRY1" s="529"/>
      <c r="GRZ1" s="529"/>
      <c r="GSA1" s="529"/>
      <c r="GSB1" s="529"/>
      <c r="GSC1" s="529"/>
      <c r="GSD1" s="529"/>
      <c r="GSE1" s="530"/>
      <c r="GSF1" s="529"/>
      <c r="GSG1" s="529"/>
      <c r="GSH1" s="529"/>
      <c r="GSI1" s="529"/>
      <c r="GSJ1" s="529"/>
      <c r="GSK1" s="529"/>
      <c r="GSL1" s="529"/>
      <c r="GSM1" s="530"/>
      <c r="GSN1" s="529"/>
      <c r="GSO1" s="529"/>
      <c r="GSP1" s="529"/>
      <c r="GSQ1" s="529"/>
      <c r="GSR1" s="529"/>
      <c r="GSS1" s="529"/>
      <c r="GST1" s="529"/>
      <c r="GSU1" s="530"/>
      <c r="GSV1" s="529"/>
      <c r="GSW1" s="529"/>
      <c r="GSX1" s="529"/>
      <c r="GSY1" s="529"/>
      <c r="GSZ1" s="529"/>
      <c r="GTA1" s="529"/>
      <c r="GTB1" s="529"/>
      <c r="GTC1" s="530"/>
      <c r="GTD1" s="529"/>
      <c r="GTE1" s="529"/>
      <c r="GTF1" s="529"/>
      <c r="GTG1" s="529"/>
      <c r="GTH1" s="529"/>
      <c r="GTI1" s="529"/>
      <c r="GTJ1" s="529"/>
      <c r="GTK1" s="530"/>
      <c r="GTL1" s="529"/>
      <c r="GTM1" s="529"/>
      <c r="GTN1" s="529"/>
      <c r="GTO1" s="529"/>
      <c r="GTP1" s="529"/>
      <c r="GTQ1" s="529"/>
      <c r="GTR1" s="529"/>
      <c r="GTS1" s="530"/>
      <c r="GTT1" s="529"/>
      <c r="GTU1" s="529"/>
      <c r="GTV1" s="529"/>
      <c r="GTW1" s="529"/>
      <c r="GTX1" s="529"/>
      <c r="GTY1" s="529"/>
      <c r="GTZ1" s="529"/>
      <c r="GUA1" s="530"/>
      <c r="GUB1" s="529"/>
      <c r="GUC1" s="529"/>
      <c r="GUD1" s="529"/>
      <c r="GUE1" s="529"/>
      <c r="GUF1" s="529"/>
      <c r="GUG1" s="529"/>
      <c r="GUH1" s="529"/>
      <c r="GUI1" s="530"/>
      <c r="GUJ1" s="529"/>
      <c r="GUK1" s="529"/>
      <c r="GUL1" s="529"/>
      <c r="GUM1" s="529"/>
      <c r="GUN1" s="529"/>
      <c r="GUO1" s="529"/>
      <c r="GUP1" s="529"/>
      <c r="GUQ1" s="530"/>
      <c r="GUR1" s="529"/>
      <c r="GUS1" s="529"/>
      <c r="GUT1" s="529"/>
      <c r="GUU1" s="529"/>
      <c r="GUV1" s="529"/>
      <c r="GUW1" s="529"/>
      <c r="GUX1" s="529"/>
      <c r="GUY1" s="530"/>
      <c r="GUZ1" s="529"/>
      <c r="GVA1" s="529"/>
      <c r="GVB1" s="529"/>
      <c r="GVC1" s="529"/>
      <c r="GVD1" s="529"/>
      <c r="GVE1" s="529"/>
      <c r="GVF1" s="529"/>
      <c r="GVG1" s="530"/>
      <c r="GVH1" s="529"/>
      <c r="GVI1" s="529"/>
      <c r="GVJ1" s="529"/>
      <c r="GVK1" s="529"/>
      <c r="GVL1" s="529"/>
      <c r="GVM1" s="529"/>
      <c r="GVN1" s="529"/>
      <c r="GVO1" s="530"/>
      <c r="GVP1" s="529"/>
      <c r="GVQ1" s="529"/>
      <c r="GVR1" s="529"/>
      <c r="GVS1" s="529"/>
      <c r="GVT1" s="529"/>
      <c r="GVU1" s="529"/>
      <c r="GVV1" s="529"/>
      <c r="GVW1" s="530"/>
      <c r="GVX1" s="529"/>
      <c r="GVY1" s="529"/>
      <c r="GVZ1" s="529"/>
      <c r="GWA1" s="529"/>
      <c r="GWB1" s="529"/>
      <c r="GWC1" s="529"/>
      <c r="GWD1" s="529"/>
      <c r="GWE1" s="530"/>
      <c r="GWF1" s="529"/>
      <c r="GWG1" s="529"/>
      <c r="GWH1" s="529"/>
      <c r="GWI1" s="529"/>
      <c r="GWJ1" s="529"/>
      <c r="GWK1" s="529"/>
      <c r="GWL1" s="529"/>
      <c r="GWM1" s="530"/>
      <c r="GWN1" s="529"/>
      <c r="GWO1" s="529"/>
      <c r="GWP1" s="529"/>
      <c r="GWQ1" s="529"/>
      <c r="GWR1" s="529"/>
      <c r="GWS1" s="529"/>
      <c r="GWT1" s="529"/>
      <c r="GWU1" s="530"/>
      <c r="GWV1" s="529"/>
      <c r="GWW1" s="529"/>
      <c r="GWX1" s="529"/>
      <c r="GWY1" s="529"/>
      <c r="GWZ1" s="529"/>
      <c r="GXA1" s="529"/>
      <c r="GXB1" s="529"/>
      <c r="GXC1" s="530"/>
      <c r="GXD1" s="529"/>
      <c r="GXE1" s="529"/>
      <c r="GXF1" s="529"/>
      <c r="GXG1" s="529"/>
      <c r="GXH1" s="529"/>
      <c r="GXI1" s="529"/>
      <c r="GXJ1" s="529"/>
      <c r="GXK1" s="530"/>
      <c r="GXL1" s="529"/>
      <c r="GXM1" s="529"/>
      <c r="GXN1" s="529"/>
      <c r="GXO1" s="529"/>
      <c r="GXP1" s="529"/>
      <c r="GXQ1" s="529"/>
      <c r="GXR1" s="529"/>
      <c r="GXS1" s="530"/>
      <c r="GXT1" s="529"/>
      <c r="GXU1" s="529"/>
      <c r="GXV1" s="529"/>
      <c r="GXW1" s="529"/>
      <c r="GXX1" s="529"/>
      <c r="GXY1" s="529"/>
      <c r="GXZ1" s="529"/>
      <c r="GYA1" s="530"/>
      <c r="GYB1" s="529"/>
      <c r="GYC1" s="529"/>
      <c r="GYD1" s="529"/>
      <c r="GYE1" s="529"/>
      <c r="GYF1" s="529"/>
      <c r="GYG1" s="529"/>
      <c r="GYH1" s="529"/>
      <c r="GYI1" s="530"/>
      <c r="GYJ1" s="529"/>
      <c r="GYK1" s="529"/>
      <c r="GYL1" s="529"/>
      <c r="GYM1" s="529"/>
      <c r="GYN1" s="529"/>
      <c r="GYO1" s="529"/>
      <c r="GYP1" s="529"/>
      <c r="GYQ1" s="530"/>
      <c r="GYR1" s="529"/>
      <c r="GYS1" s="529"/>
      <c r="GYT1" s="529"/>
      <c r="GYU1" s="529"/>
      <c r="GYV1" s="529"/>
      <c r="GYW1" s="529"/>
      <c r="GYX1" s="529"/>
      <c r="GYY1" s="530"/>
      <c r="GYZ1" s="529"/>
      <c r="GZA1" s="529"/>
      <c r="GZB1" s="529"/>
      <c r="GZC1" s="529"/>
      <c r="GZD1" s="529"/>
      <c r="GZE1" s="529"/>
      <c r="GZF1" s="529"/>
      <c r="GZG1" s="530"/>
      <c r="GZH1" s="529"/>
      <c r="GZI1" s="529"/>
      <c r="GZJ1" s="529"/>
      <c r="GZK1" s="529"/>
      <c r="GZL1" s="529"/>
      <c r="GZM1" s="529"/>
      <c r="GZN1" s="529"/>
      <c r="GZO1" s="530"/>
      <c r="GZP1" s="529"/>
      <c r="GZQ1" s="529"/>
      <c r="GZR1" s="529"/>
      <c r="GZS1" s="529"/>
      <c r="GZT1" s="529"/>
      <c r="GZU1" s="529"/>
      <c r="GZV1" s="529"/>
      <c r="GZW1" s="530"/>
      <c r="GZX1" s="529"/>
      <c r="GZY1" s="529"/>
      <c r="GZZ1" s="529"/>
      <c r="HAA1" s="529"/>
      <c r="HAB1" s="529"/>
      <c r="HAC1" s="529"/>
      <c r="HAD1" s="529"/>
      <c r="HAE1" s="530"/>
      <c r="HAF1" s="529"/>
      <c r="HAG1" s="529"/>
      <c r="HAH1" s="529"/>
      <c r="HAI1" s="529"/>
      <c r="HAJ1" s="529"/>
      <c r="HAK1" s="529"/>
      <c r="HAL1" s="529"/>
      <c r="HAM1" s="530"/>
      <c r="HAN1" s="529"/>
      <c r="HAO1" s="529"/>
      <c r="HAP1" s="529"/>
      <c r="HAQ1" s="529"/>
      <c r="HAR1" s="529"/>
      <c r="HAS1" s="529"/>
      <c r="HAT1" s="529"/>
      <c r="HAU1" s="530"/>
      <c r="HAV1" s="529"/>
      <c r="HAW1" s="529"/>
      <c r="HAX1" s="529"/>
      <c r="HAY1" s="529"/>
      <c r="HAZ1" s="529"/>
      <c r="HBA1" s="529"/>
      <c r="HBB1" s="529"/>
      <c r="HBC1" s="530"/>
      <c r="HBD1" s="529"/>
      <c r="HBE1" s="529"/>
      <c r="HBF1" s="529"/>
      <c r="HBG1" s="529"/>
      <c r="HBH1" s="529"/>
      <c r="HBI1" s="529"/>
      <c r="HBJ1" s="529"/>
      <c r="HBK1" s="530"/>
      <c r="HBL1" s="529"/>
      <c r="HBM1" s="529"/>
      <c r="HBN1" s="529"/>
      <c r="HBO1" s="529"/>
      <c r="HBP1" s="529"/>
      <c r="HBQ1" s="529"/>
      <c r="HBR1" s="529"/>
      <c r="HBS1" s="530"/>
      <c r="HBT1" s="529"/>
      <c r="HBU1" s="529"/>
      <c r="HBV1" s="529"/>
      <c r="HBW1" s="529"/>
      <c r="HBX1" s="529"/>
      <c r="HBY1" s="529"/>
      <c r="HBZ1" s="529"/>
      <c r="HCA1" s="530"/>
      <c r="HCB1" s="529"/>
      <c r="HCC1" s="529"/>
      <c r="HCD1" s="529"/>
      <c r="HCE1" s="529"/>
      <c r="HCF1" s="529"/>
      <c r="HCG1" s="529"/>
      <c r="HCH1" s="529"/>
      <c r="HCI1" s="530"/>
      <c r="HCJ1" s="529"/>
      <c r="HCK1" s="529"/>
      <c r="HCL1" s="529"/>
      <c r="HCM1" s="529"/>
      <c r="HCN1" s="529"/>
      <c r="HCO1" s="529"/>
      <c r="HCP1" s="529"/>
      <c r="HCQ1" s="530"/>
      <c r="HCR1" s="529"/>
      <c r="HCS1" s="529"/>
      <c r="HCT1" s="529"/>
      <c r="HCU1" s="529"/>
      <c r="HCV1" s="529"/>
      <c r="HCW1" s="529"/>
      <c r="HCX1" s="529"/>
      <c r="HCY1" s="530"/>
      <c r="HCZ1" s="529"/>
      <c r="HDA1" s="529"/>
      <c r="HDB1" s="529"/>
      <c r="HDC1" s="529"/>
      <c r="HDD1" s="529"/>
      <c r="HDE1" s="529"/>
      <c r="HDF1" s="529"/>
      <c r="HDG1" s="530"/>
      <c r="HDH1" s="529"/>
      <c r="HDI1" s="529"/>
      <c r="HDJ1" s="529"/>
      <c r="HDK1" s="529"/>
      <c r="HDL1" s="529"/>
      <c r="HDM1" s="529"/>
      <c r="HDN1" s="529"/>
      <c r="HDO1" s="530"/>
      <c r="HDP1" s="529"/>
      <c r="HDQ1" s="529"/>
      <c r="HDR1" s="529"/>
      <c r="HDS1" s="529"/>
      <c r="HDT1" s="529"/>
      <c r="HDU1" s="529"/>
      <c r="HDV1" s="529"/>
      <c r="HDW1" s="530"/>
      <c r="HDX1" s="529"/>
      <c r="HDY1" s="529"/>
      <c r="HDZ1" s="529"/>
      <c r="HEA1" s="529"/>
      <c r="HEB1" s="529"/>
      <c r="HEC1" s="529"/>
      <c r="HED1" s="529"/>
      <c r="HEE1" s="530"/>
      <c r="HEF1" s="529"/>
      <c r="HEG1" s="529"/>
      <c r="HEH1" s="529"/>
      <c r="HEI1" s="529"/>
      <c r="HEJ1" s="529"/>
      <c r="HEK1" s="529"/>
      <c r="HEL1" s="529"/>
      <c r="HEM1" s="530"/>
      <c r="HEN1" s="529"/>
      <c r="HEO1" s="529"/>
      <c r="HEP1" s="529"/>
      <c r="HEQ1" s="529"/>
      <c r="HER1" s="529"/>
      <c r="HES1" s="529"/>
      <c r="HET1" s="529"/>
      <c r="HEU1" s="530"/>
      <c r="HEV1" s="529"/>
      <c r="HEW1" s="529"/>
      <c r="HEX1" s="529"/>
      <c r="HEY1" s="529"/>
      <c r="HEZ1" s="529"/>
      <c r="HFA1" s="529"/>
      <c r="HFB1" s="529"/>
      <c r="HFC1" s="530"/>
      <c r="HFD1" s="529"/>
      <c r="HFE1" s="529"/>
      <c r="HFF1" s="529"/>
      <c r="HFG1" s="529"/>
      <c r="HFH1" s="529"/>
      <c r="HFI1" s="529"/>
      <c r="HFJ1" s="529"/>
      <c r="HFK1" s="530"/>
      <c r="HFL1" s="529"/>
      <c r="HFM1" s="529"/>
      <c r="HFN1" s="529"/>
      <c r="HFO1" s="529"/>
      <c r="HFP1" s="529"/>
      <c r="HFQ1" s="529"/>
      <c r="HFR1" s="529"/>
      <c r="HFS1" s="530"/>
      <c r="HFT1" s="529"/>
      <c r="HFU1" s="529"/>
      <c r="HFV1" s="529"/>
      <c r="HFW1" s="529"/>
      <c r="HFX1" s="529"/>
      <c r="HFY1" s="529"/>
      <c r="HFZ1" s="529"/>
      <c r="HGA1" s="530"/>
      <c r="HGB1" s="529"/>
      <c r="HGC1" s="529"/>
      <c r="HGD1" s="529"/>
      <c r="HGE1" s="529"/>
      <c r="HGF1" s="529"/>
      <c r="HGG1" s="529"/>
      <c r="HGH1" s="529"/>
      <c r="HGI1" s="530"/>
      <c r="HGJ1" s="529"/>
      <c r="HGK1" s="529"/>
      <c r="HGL1" s="529"/>
      <c r="HGM1" s="529"/>
      <c r="HGN1" s="529"/>
      <c r="HGO1" s="529"/>
      <c r="HGP1" s="529"/>
      <c r="HGQ1" s="530"/>
      <c r="HGR1" s="529"/>
      <c r="HGS1" s="529"/>
      <c r="HGT1" s="529"/>
      <c r="HGU1" s="529"/>
      <c r="HGV1" s="529"/>
      <c r="HGW1" s="529"/>
      <c r="HGX1" s="529"/>
      <c r="HGY1" s="530"/>
      <c r="HGZ1" s="529"/>
      <c r="HHA1" s="529"/>
      <c r="HHB1" s="529"/>
      <c r="HHC1" s="529"/>
      <c r="HHD1" s="529"/>
      <c r="HHE1" s="529"/>
      <c r="HHF1" s="529"/>
      <c r="HHG1" s="530"/>
      <c r="HHH1" s="529"/>
      <c r="HHI1" s="529"/>
      <c r="HHJ1" s="529"/>
      <c r="HHK1" s="529"/>
      <c r="HHL1" s="529"/>
      <c r="HHM1" s="529"/>
      <c r="HHN1" s="529"/>
      <c r="HHO1" s="530"/>
      <c r="HHP1" s="529"/>
      <c r="HHQ1" s="529"/>
      <c r="HHR1" s="529"/>
      <c r="HHS1" s="529"/>
      <c r="HHT1" s="529"/>
      <c r="HHU1" s="529"/>
      <c r="HHV1" s="529"/>
      <c r="HHW1" s="530"/>
      <c r="HHX1" s="529"/>
      <c r="HHY1" s="529"/>
      <c r="HHZ1" s="529"/>
      <c r="HIA1" s="529"/>
      <c r="HIB1" s="529"/>
      <c r="HIC1" s="529"/>
      <c r="HID1" s="529"/>
      <c r="HIE1" s="530"/>
      <c r="HIF1" s="529"/>
      <c r="HIG1" s="529"/>
      <c r="HIH1" s="529"/>
      <c r="HII1" s="529"/>
      <c r="HIJ1" s="529"/>
      <c r="HIK1" s="529"/>
      <c r="HIL1" s="529"/>
      <c r="HIM1" s="530"/>
      <c r="HIN1" s="529"/>
      <c r="HIO1" s="529"/>
      <c r="HIP1" s="529"/>
      <c r="HIQ1" s="529"/>
      <c r="HIR1" s="529"/>
      <c r="HIS1" s="529"/>
      <c r="HIT1" s="529"/>
      <c r="HIU1" s="530"/>
      <c r="HIV1" s="529"/>
      <c r="HIW1" s="529"/>
      <c r="HIX1" s="529"/>
      <c r="HIY1" s="529"/>
      <c r="HIZ1" s="529"/>
      <c r="HJA1" s="529"/>
      <c r="HJB1" s="529"/>
      <c r="HJC1" s="530"/>
      <c r="HJD1" s="529"/>
      <c r="HJE1" s="529"/>
      <c r="HJF1" s="529"/>
      <c r="HJG1" s="529"/>
      <c r="HJH1" s="529"/>
      <c r="HJI1" s="529"/>
      <c r="HJJ1" s="529"/>
      <c r="HJK1" s="530"/>
      <c r="HJL1" s="529"/>
      <c r="HJM1" s="529"/>
      <c r="HJN1" s="529"/>
      <c r="HJO1" s="529"/>
      <c r="HJP1" s="529"/>
      <c r="HJQ1" s="529"/>
      <c r="HJR1" s="529"/>
      <c r="HJS1" s="530"/>
      <c r="HJT1" s="529"/>
      <c r="HJU1" s="529"/>
      <c r="HJV1" s="529"/>
      <c r="HJW1" s="529"/>
      <c r="HJX1" s="529"/>
      <c r="HJY1" s="529"/>
      <c r="HJZ1" s="529"/>
      <c r="HKA1" s="530"/>
      <c r="HKB1" s="529"/>
      <c r="HKC1" s="529"/>
      <c r="HKD1" s="529"/>
      <c r="HKE1" s="529"/>
      <c r="HKF1" s="529"/>
      <c r="HKG1" s="529"/>
      <c r="HKH1" s="529"/>
      <c r="HKI1" s="530"/>
      <c r="HKJ1" s="529"/>
      <c r="HKK1" s="529"/>
      <c r="HKL1" s="529"/>
      <c r="HKM1" s="529"/>
      <c r="HKN1" s="529"/>
      <c r="HKO1" s="529"/>
      <c r="HKP1" s="529"/>
      <c r="HKQ1" s="530"/>
      <c r="HKR1" s="529"/>
      <c r="HKS1" s="529"/>
      <c r="HKT1" s="529"/>
      <c r="HKU1" s="529"/>
      <c r="HKV1" s="529"/>
      <c r="HKW1" s="529"/>
      <c r="HKX1" s="529"/>
      <c r="HKY1" s="530"/>
      <c r="HKZ1" s="529"/>
      <c r="HLA1" s="529"/>
      <c r="HLB1" s="529"/>
      <c r="HLC1" s="529"/>
      <c r="HLD1" s="529"/>
      <c r="HLE1" s="529"/>
      <c r="HLF1" s="529"/>
      <c r="HLG1" s="530"/>
      <c r="HLH1" s="529"/>
      <c r="HLI1" s="529"/>
      <c r="HLJ1" s="529"/>
      <c r="HLK1" s="529"/>
      <c r="HLL1" s="529"/>
      <c r="HLM1" s="529"/>
      <c r="HLN1" s="529"/>
      <c r="HLO1" s="530"/>
      <c r="HLP1" s="529"/>
      <c r="HLQ1" s="529"/>
      <c r="HLR1" s="529"/>
      <c r="HLS1" s="529"/>
      <c r="HLT1" s="529"/>
      <c r="HLU1" s="529"/>
      <c r="HLV1" s="529"/>
      <c r="HLW1" s="530"/>
      <c r="HLX1" s="529"/>
      <c r="HLY1" s="529"/>
      <c r="HLZ1" s="529"/>
      <c r="HMA1" s="529"/>
      <c r="HMB1" s="529"/>
      <c r="HMC1" s="529"/>
      <c r="HMD1" s="529"/>
      <c r="HME1" s="530"/>
      <c r="HMF1" s="529"/>
      <c r="HMG1" s="529"/>
      <c r="HMH1" s="529"/>
      <c r="HMI1" s="529"/>
      <c r="HMJ1" s="529"/>
      <c r="HMK1" s="529"/>
      <c r="HML1" s="529"/>
      <c r="HMM1" s="530"/>
      <c r="HMN1" s="529"/>
      <c r="HMO1" s="529"/>
      <c r="HMP1" s="529"/>
      <c r="HMQ1" s="529"/>
      <c r="HMR1" s="529"/>
      <c r="HMS1" s="529"/>
      <c r="HMT1" s="529"/>
      <c r="HMU1" s="530"/>
      <c r="HMV1" s="529"/>
      <c r="HMW1" s="529"/>
      <c r="HMX1" s="529"/>
      <c r="HMY1" s="529"/>
      <c r="HMZ1" s="529"/>
      <c r="HNA1" s="529"/>
      <c r="HNB1" s="529"/>
      <c r="HNC1" s="530"/>
      <c r="HND1" s="529"/>
      <c r="HNE1" s="529"/>
      <c r="HNF1" s="529"/>
      <c r="HNG1" s="529"/>
      <c r="HNH1" s="529"/>
      <c r="HNI1" s="529"/>
      <c r="HNJ1" s="529"/>
      <c r="HNK1" s="530"/>
      <c r="HNL1" s="529"/>
      <c r="HNM1" s="529"/>
      <c r="HNN1" s="529"/>
      <c r="HNO1" s="529"/>
      <c r="HNP1" s="529"/>
      <c r="HNQ1" s="529"/>
      <c r="HNR1" s="529"/>
      <c r="HNS1" s="530"/>
      <c r="HNT1" s="529"/>
      <c r="HNU1" s="529"/>
      <c r="HNV1" s="529"/>
      <c r="HNW1" s="529"/>
      <c r="HNX1" s="529"/>
      <c r="HNY1" s="529"/>
      <c r="HNZ1" s="529"/>
      <c r="HOA1" s="530"/>
      <c r="HOB1" s="529"/>
      <c r="HOC1" s="529"/>
      <c r="HOD1" s="529"/>
      <c r="HOE1" s="529"/>
      <c r="HOF1" s="529"/>
      <c r="HOG1" s="529"/>
      <c r="HOH1" s="529"/>
      <c r="HOI1" s="530"/>
      <c r="HOJ1" s="529"/>
      <c r="HOK1" s="529"/>
      <c r="HOL1" s="529"/>
      <c r="HOM1" s="529"/>
      <c r="HON1" s="529"/>
      <c r="HOO1" s="529"/>
      <c r="HOP1" s="529"/>
      <c r="HOQ1" s="530"/>
      <c r="HOR1" s="529"/>
      <c r="HOS1" s="529"/>
      <c r="HOT1" s="529"/>
      <c r="HOU1" s="529"/>
      <c r="HOV1" s="529"/>
      <c r="HOW1" s="529"/>
      <c r="HOX1" s="529"/>
      <c r="HOY1" s="530"/>
      <c r="HOZ1" s="529"/>
      <c r="HPA1" s="529"/>
      <c r="HPB1" s="529"/>
      <c r="HPC1" s="529"/>
      <c r="HPD1" s="529"/>
      <c r="HPE1" s="529"/>
      <c r="HPF1" s="529"/>
      <c r="HPG1" s="530"/>
      <c r="HPH1" s="529"/>
      <c r="HPI1" s="529"/>
      <c r="HPJ1" s="529"/>
      <c r="HPK1" s="529"/>
      <c r="HPL1" s="529"/>
      <c r="HPM1" s="529"/>
      <c r="HPN1" s="529"/>
      <c r="HPO1" s="530"/>
      <c r="HPP1" s="529"/>
      <c r="HPQ1" s="529"/>
      <c r="HPR1" s="529"/>
      <c r="HPS1" s="529"/>
      <c r="HPT1" s="529"/>
      <c r="HPU1" s="529"/>
      <c r="HPV1" s="529"/>
      <c r="HPW1" s="530"/>
      <c r="HPX1" s="529"/>
      <c r="HPY1" s="529"/>
      <c r="HPZ1" s="529"/>
      <c r="HQA1" s="529"/>
      <c r="HQB1" s="529"/>
      <c r="HQC1" s="529"/>
      <c r="HQD1" s="529"/>
      <c r="HQE1" s="530"/>
      <c r="HQF1" s="529"/>
      <c r="HQG1" s="529"/>
      <c r="HQH1" s="529"/>
      <c r="HQI1" s="529"/>
      <c r="HQJ1" s="529"/>
      <c r="HQK1" s="529"/>
      <c r="HQL1" s="529"/>
      <c r="HQM1" s="530"/>
      <c r="HQN1" s="529"/>
      <c r="HQO1" s="529"/>
      <c r="HQP1" s="529"/>
      <c r="HQQ1" s="529"/>
      <c r="HQR1" s="529"/>
      <c r="HQS1" s="529"/>
      <c r="HQT1" s="529"/>
      <c r="HQU1" s="530"/>
      <c r="HQV1" s="529"/>
      <c r="HQW1" s="529"/>
      <c r="HQX1" s="529"/>
      <c r="HQY1" s="529"/>
      <c r="HQZ1" s="529"/>
      <c r="HRA1" s="529"/>
      <c r="HRB1" s="529"/>
      <c r="HRC1" s="530"/>
      <c r="HRD1" s="529"/>
      <c r="HRE1" s="529"/>
      <c r="HRF1" s="529"/>
      <c r="HRG1" s="529"/>
      <c r="HRH1" s="529"/>
      <c r="HRI1" s="529"/>
      <c r="HRJ1" s="529"/>
      <c r="HRK1" s="530"/>
      <c r="HRL1" s="529"/>
      <c r="HRM1" s="529"/>
      <c r="HRN1" s="529"/>
      <c r="HRO1" s="529"/>
      <c r="HRP1" s="529"/>
      <c r="HRQ1" s="529"/>
      <c r="HRR1" s="529"/>
      <c r="HRS1" s="530"/>
      <c r="HRT1" s="529"/>
      <c r="HRU1" s="529"/>
      <c r="HRV1" s="529"/>
      <c r="HRW1" s="529"/>
      <c r="HRX1" s="529"/>
      <c r="HRY1" s="529"/>
      <c r="HRZ1" s="529"/>
      <c r="HSA1" s="530"/>
      <c r="HSB1" s="529"/>
      <c r="HSC1" s="529"/>
      <c r="HSD1" s="529"/>
      <c r="HSE1" s="529"/>
      <c r="HSF1" s="529"/>
      <c r="HSG1" s="529"/>
      <c r="HSH1" s="529"/>
      <c r="HSI1" s="530"/>
      <c r="HSJ1" s="529"/>
      <c r="HSK1" s="529"/>
      <c r="HSL1" s="529"/>
      <c r="HSM1" s="529"/>
      <c r="HSN1" s="529"/>
      <c r="HSO1" s="529"/>
      <c r="HSP1" s="529"/>
      <c r="HSQ1" s="530"/>
      <c r="HSR1" s="529"/>
      <c r="HSS1" s="529"/>
      <c r="HST1" s="529"/>
      <c r="HSU1" s="529"/>
      <c r="HSV1" s="529"/>
      <c r="HSW1" s="529"/>
      <c r="HSX1" s="529"/>
      <c r="HSY1" s="530"/>
      <c r="HSZ1" s="529"/>
      <c r="HTA1" s="529"/>
      <c r="HTB1" s="529"/>
      <c r="HTC1" s="529"/>
      <c r="HTD1" s="529"/>
      <c r="HTE1" s="529"/>
      <c r="HTF1" s="529"/>
      <c r="HTG1" s="530"/>
      <c r="HTH1" s="529"/>
      <c r="HTI1" s="529"/>
      <c r="HTJ1" s="529"/>
      <c r="HTK1" s="529"/>
      <c r="HTL1" s="529"/>
      <c r="HTM1" s="529"/>
      <c r="HTN1" s="529"/>
      <c r="HTO1" s="530"/>
      <c r="HTP1" s="529"/>
      <c r="HTQ1" s="529"/>
      <c r="HTR1" s="529"/>
      <c r="HTS1" s="529"/>
      <c r="HTT1" s="529"/>
      <c r="HTU1" s="529"/>
      <c r="HTV1" s="529"/>
      <c r="HTW1" s="530"/>
      <c r="HTX1" s="529"/>
      <c r="HTY1" s="529"/>
      <c r="HTZ1" s="529"/>
      <c r="HUA1" s="529"/>
      <c r="HUB1" s="529"/>
      <c r="HUC1" s="529"/>
      <c r="HUD1" s="529"/>
      <c r="HUE1" s="530"/>
      <c r="HUF1" s="529"/>
      <c r="HUG1" s="529"/>
      <c r="HUH1" s="529"/>
      <c r="HUI1" s="529"/>
      <c r="HUJ1" s="529"/>
      <c r="HUK1" s="529"/>
      <c r="HUL1" s="529"/>
      <c r="HUM1" s="530"/>
      <c r="HUN1" s="529"/>
      <c r="HUO1" s="529"/>
      <c r="HUP1" s="529"/>
      <c r="HUQ1" s="529"/>
      <c r="HUR1" s="529"/>
      <c r="HUS1" s="529"/>
      <c r="HUT1" s="529"/>
      <c r="HUU1" s="530"/>
      <c r="HUV1" s="529"/>
      <c r="HUW1" s="529"/>
      <c r="HUX1" s="529"/>
      <c r="HUY1" s="529"/>
      <c r="HUZ1" s="529"/>
      <c r="HVA1" s="529"/>
      <c r="HVB1" s="529"/>
      <c r="HVC1" s="530"/>
      <c r="HVD1" s="529"/>
      <c r="HVE1" s="529"/>
      <c r="HVF1" s="529"/>
      <c r="HVG1" s="529"/>
      <c r="HVH1" s="529"/>
      <c r="HVI1" s="529"/>
      <c r="HVJ1" s="529"/>
      <c r="HVK1" s="530"/>
      <c r="HVL1" s="529"/>
      <c r="HVM1" s="529"/>
      <c r="HVN1" s="529"/>
      <c r="HVO1" s="529"/>
      <c r="HVP1" s="529"/>
      <c r="HVQ1" s="529"/>
      <c r="HVR1" s="529"/>
      <c r="HVS1" s="530"/>
      <c r="HVT1" s="529"/>
      <c r="HVU1" s="529"/>
      <c r="HVV1" s="529"/>
      <c r="HVW1" s="529"/>
      <c r="HVX1" s="529"/>
      <c r="HVY1" s="529"/>
      <c r="HVZ1" s="529"/>
      <c r="HWA1" s="530"/>
      <c r="HWB1" s="529"/>
      <c r="HWC1" s="529"/>
      <c r="HWD1" s="529"/>
      <c r="HWE1" s="529"/>
      <c r="HWF1" s="529"/>
      <c r="HWG1" s="529"/>
      <c r="HWH1" s="529"/>
      <c r="HWI1" s="530"/>
      <c r="HWJ1" s="529"/>
      <c r="HWK1" s="529"/>
      <c r="HWL1" s="529"/>
      <c r="HWM1" s="529"/>
      <c r="HWN1" s="529"/>
      <c r="HWO1" s="529"/>
      <c r="HWP1" s="529"/>
      <c r="HWQ1" s="530"/>
      <c r="HWR1" s="529"/>
      <c r="HWS1" s="529"/>
      <c r="HWT1" s="529"/>
      <c r="HWU1" s="529"/>
      <c r="HWV1" s="529"/>
      <c r="HWW1" s="529"/>
      <c r="HWX1" s="529"/>
      <c r="HWY1" s="530"/>
      <c r="HWZ1" s="529"/>
      <c r="HXA1" s="529"/>
      <c r="HXB1" s="529"/>
      <c r="HXC1" s="529"/>
      <c r="HXD1" s="529"/>
      <c r="HXE1" s="529"/>
      <c r="HXF1" s="529"/>
      <c r="HXG1" s="530"/>
      <c r="HXH1" s="529"/>
      <c r="HXI1" s="529"/>
      <c r="HXJ1" s="529"/>
      <c r="HXK1" s="529"/>
      <c r="HXL1" s="529"/>
      <c r="HXM1" s="529"/>
      <c r="HXN1" s="529"/>
      <c r="HXO1" s="530"/>
      <c r="HXP1" s="529"/>
      <c r="HXQ1" s="529"/>
      <c r="HXR1" s="529"/>
      <c r="HXS1" s="529"/>
      <c r="HXT1" s="529"/>
      <c r="HXU1" s="529"/>
      <c r="HXV1" s="529"/>
      <c r="HXW1" s="530"/>
      <c r="HXX1" s="529"/>
      <c r="HXY1" s="529"/>
      <c r="HXZ1" s="529"/>
      <c r="HYA1" s="529"/>
      <c r="HYB1" s="529"/>
      <c r="HYC1" s="529"/>
      <c r="HYD1" s="529"/>
      <c r="HYE1" s="530"/>
      <c r="HYF1" s="529"/>
      <c r="HYG1" s="529"/>
      <c r="HYH1" s="529"/>
      <c r="HYI1" s="529"/>
      <c r="HYJ1" s="529"/>
      <c r="HYK1" s="529"/>
      <c r="HYL1" s="529"/>
      <c r="HYM1" s="530"/>
      <c r="HYN1" s="529"/>
      <c r="HYO1" s="529"/>
      <c r="HYP1" s="529"/>
      <c r="HYQ1" s="529"/>
      <c r="HYR1" s="529"/>
      <c r="HYS1" s="529"/>
      <c r="HYT1" s="529"/>
      <c r="HYU1" s="530"/>
      <c r="HYV1" s="529"/>
      <c r="HYW1" s="529"/>
      <c r="HYX1" s="529"/>
      <c r="HYY1" s="529"/>
      <c r="HYZ1" s="529"/>
      <c r="HZA1" s="529"/>
      <c r="HZB1" s="529"/>
      <c r="HZC1" s="530"/>
      <c r="HZD1" s="529"/>
      <c r="HZE1" s="529"/>
      <c r="HZF1" s="529"/>
      <c r="HZG1" s="529"/>
      <c r="HZH1" s="529"/>
      <c r="HZI1" s="529"/>
      <c r="HZJ1" s="529"/>
      <c r="HZK1" s="530"/>
      <c r="HZL1" s="529"/>
      <c r="HZM1" s="529"/>
      <c r="HZN1" s="529"/>
      <c r="HZO1" s="529"/>
      <c r="HZP1" s="529"/>
      <c r="HZQ1" s="529"/>
      <c r="HZR1" s="529"/>
      <c r="HZS1" s="530"/>
      <c r="HZT1" s="529"/>
      <c r="HZU1" s="529"/>
      <c r="HZV1" s="529"/>
      <c r="HZW1" s="529"/>
      <c r="HZX1" s="529"/>
      <c r="HZY1" s="529"/>
      <c r="HZZ1" s="529"/>
      <c r="IAA1" s="530"/>
      <c r="IAB1" s="529"/>
      <c r="IAC1" s="529"/>
      <c r="IAD1" s="529"/>
      <c r="IAE1" s="529"/>
      <c r="IAF1" s="529"/>
      <c r="IAG1" s="529"/>
      <c r="IAH1" s="529"/>
      <c r="IAI1" s="530"/>
      <c r="IAJ1" s="529"/>
      <c r="IAK1" s="529"/>
      <c r="IAL1" s="529"/>
      <c r="IAM1" s="529"/>
      <c r="IAN1" s="529"/>
      <c r="IAO1" s="529"/>
      <c r="IAP1" s="529"/>
      <c r="IAQ1" s="530"/>
      <c r="IAR1" s="529"/>
      <c r="IAS1" s="529"/>
      <c r="IAT1" s="529"/>
      <c r="IAU1" s="529"/>
      <c r="IAV1" s="529"/>
      <c r="IAW1" s="529"/>
      <c r="IAX1" s="529"/>
      <c r="IAY1" s="530"/>
      <c r="IAZ1" s="529"/>
      <c r="IBA1" s="529"/>
      <c r="IBB1" s="529"/>
      <c r="IBC1" s="529"/>
      <c r="IBD1" s="529"/>
      <c r="IBE1" s="529"/>
      <c r="IBF1" s="529"/>
      <c r="IBG1" s="530"/>
      <c r="IBH1" s="529"/>
      <c r="IBI1" s="529"/>
      <c r="IBJ1" s="529"/>
      <c r="IBK1" s="529"/>
      <c r="IBL1" s="529"/>
      <c r="IBM1" s="529"/>
      <c r="IBN1" s="529"/>
      <c r="IBO1" s="530"/>
      <c r="IBP1" s="529"/>
      <c r="IBQ1" s="529"/>
      <c r="IBR1" s="529"/>
      <c r="IBS1" s="529"/>
      <c r="IBT1" s="529"/>
      <c r="IBU1" s="529"/>
      <c r="IBV1" s="529"/>
      <c r="IBW1" s="530"/>
      <c r="IBX1" s="529"/>
      <c r="IBY1" s="529"/>
      <c r="IBZ1" s="529"/>
      <c r="ICA1" s="529"/>
      <c r="ICB1" s="529"/>
      <c r="ICC1" s="529"/>
      <c r="ICD1" s="529"/>
      <c r="ICE1" s="530"/>
      <c r="ICF1" s="529"/>
      <c r="ICG1" s="529"/>
      <c r="ICH1" s="529"/>
      <c r="ICI1" s="529"/>
      <c r="ICJ1" s="529"/>
      <c r="ICK1" s="529"/>
      <c r="ICL1" s="529"/>
      <c r="ICM1" s="530"/>
      <c r="ICN1" s="529"/>
      <c r="ICO1" s="529"/>
      <c r="ICP1" s="529"/>
      <c r="ICQ1" s="529"/>
      <c r="ICR1" s="529"/>
      <c r="ICS1" s="529"/>
      <c r="ICT1" s="529"/>
      <c r="ICU1" s="530"/>
      <c r="ICV1" s="529"/>
      <c r="ICW1" s="529"/>
      <c r="ICX1" s="529"/>
      <c r="ICY1" s="529"/>
      <c r="ICZ1" s="529"/>
      <c r="IDA1" s="529"/>
      <c r="IDB1" s="529"/>
      <c r="IDC1" s="530"/>
      <c r="IDD1" s="529"/>
      <c r="IDE1" s="529"/>
      <c r="IDF1" s="529"/>
      <c r="IDG1" s="529"/>
      <c r="IDH1" s="529"/>
      <c r="IDI1" s="529"/>
      <c r="IDJ1" s="529"/>
      <c r="IDK1" s="530"/>
      <c r="IDL1" s="529"/>
      <c r="IDM1" s="529"/>
      <c r="IDN1" s="529"/>
      <c r="IDO1" s="529"/>
      <c r="IDP1" s="529"/>
      <c r="IDQ1" s="529"/>
      <c r="IDR1" s="529"/>
      <c r="IDS1" s="530"/>
      <c r="IDT1" s="529"/>
      <c r="IDU1" s="529"/>
      <c r="IDV1" s="529"/>
      <c r="IDW1" s="529"/>
      <c r="IDX1" s="529"/>
      <c r="IDY1" s="529"/>
      <c r="IDZ1" s="529"/>
      <c r="IEA1" s="530"/>
      <c r="IEB1" s="529"/>
      <c r="IEC1" s="529"/>
      <c r="IED1" s="529"/>
      <c r="IEE1" s="529"/>
      <c r="IEF1" s="529"/>
      <c r="IEG1" s="529"/>
      <c r="IEH1" s="529"/>
      <c r="IEI1" s="530"/>
      <c r="IEJ1" s="529"/>
      <c r="IEK1" s="529"/>
      <c r="IEL1" s="529"/>
      <c r="IEM1" s="529"/>
      <c r="IEN1" s="529"/>
      <c r="IEO1" s="529"/>
      <c r="IEP1" s="529"/>
      <c r="IEQ1" s="530"/>
      <c r="IER1" s="529"/>
      <c r="IES1" s="529"/>
      <c r="IET1" s="529"/>
      <c r="IEU1" s="529"/>
      <c r="IEV1" s="529"/>
      <c r="IEW1" s="529"/>
      <c r="IEX1" s="529"/>
      <c r="IEY1" s="530"/>
      <c r="IEZ1" s="529"/>
      <c r="IFA1" s="529"/>
      <c r="IFB1" s="529"/>
      <c r="IFC1" s="529"/>
      <c r="IFD1" s="529"/>
      <c r="IFE1" s="529"/>
      <c r="IFF1" s="529"/>
      <c r="IFG1" s="530"/>
      <c r="IFH1" s="529"/>
      <c r="IFI1" s="529"/>
      <c r="IFJ1" s="529"/>
      <c r="IFK1" s="529"/>
      <c r="IFL1" s="529"/>
      <c r="IFM1" s="529"/>
      <c r="IFN1" s="529"/>
      <c r="IFO1" s="530"/>
      <c r="IFP1" s="529"/>
      <c r="IFQ1" s="529"/>
      <c r="IFR1" s="529"/>
      <c r="IFS1" s="529"/>
      <c r="IFT1" s="529"/>
      <c r="IFU1" s="529"/>
      <c r="IFV1" s="529"/>
      <c r="IFW1" s="530"/>
      <c r="IFX1" s="529"/>
      <c r="IFY1" s="529"/>
      <c r="IFZ1" s="529"/>
      <c r="IGA1" s="529"/>
      <c r="IGB1" s="529"/>
      <c r="IGC1" s="529"/>
      <c r="IGD1" s="529"/>
      <c r="IGE1" s="530"/>
      <c r="IGF1" s="529"/>
      <c r="IGG1" s="529"/>
      <c r="IGH1" s="529"/>
      <c r="IGI1" s="529"/>
      <c r="IGJ1" s="529"/>
      <c r="IGK1" s="529"/>
      <c r="IGL1" s="529"/>
      <c r="IGM1" s="530"/>
      <c r="IGN1" s="529"/>
      <c r="IGO1" s="529"/>
      <c r="IGP1" s="529"/>
      <c r="IGQ1" s="529"/>
      <c r="IGR1" s="529"/>
      <c r="IGS1" s="529"/>
      <c r="IGT1" s="529"/>
      <c r="IGU1" s="530"/>
      <c r="IGV1" s="529"/>
      <c r="IGW1" s="529"/>
      <c r="IGX1" s="529"/>
      <c r="IGY1" s="529"/>
      <c r="IGZ1" s="529"/>
      <c r="IHA1" s="529"/>
      <c r="IHB1" s="529"/>
      <c r="IHC1" s="530"/>
      <c r="IHD1" s="529"/>
      <c r="IHE1" s="529"/>
      <c r="IHF1" s="529"/>
      <c r="IHG1" s="529"/>
      <c r="IHH1" s="529"/>
      <c r="IHI1" s="529"/>
      <c r="IHJ1" s="529"/>
      <c r="IHK1" s="530"/>
      <c r="IHL1" s="529"/>
      <c r="IHM1" s="529"/>
      <c r="IHN1" s="529"/>
      <c r="IHO1" s="529"/>
      <c r="IHP1" s="529"/>
      <c r="IHQ1" s="529"/>
      <c r="IHR1" s="529"/>
      <c r="IHS1" s="530"/>
      <c r="IHT1" s="529"/>
      <c r="IHU1" s="529"/>
      <c r="IHV1" s="529"/>
      <c r="IHW1" s="529"/>
      <c r="IHX1" s="529"/>
      <c r="IHY1" s="529"/>
      <c r="IHZ1" s="529"/>
      <c r="IIA1" s="530"/>
      <c r="IIB1" s="529"/>
      <c r="IIC1" s="529"/>
      <c r="IID1" s="529"/>
      <c r="IIE1" s="529"/>
      <c r="IIF1" s="529"/>
      <c r="IIG1" s="529"/>
      <c r="IIH1" s="529"/>
      <c r="III1" s="530"/>
      <c r="IIJ1" s="529"/>
      <c r="IIK1" s="529"/>
      <c r="IIL1" s="529"/>
      <c r="IIM1" s="529"/>
      <c r="IIN1" s="529"/>
      <c r="IIO1" s="529"/>
      <c r="IIP1" s="529"/>
      <c r="IIQ1" s="530"/>
      <c r="IIR1" s="529"/>
      <c r="IIS1" s="529"/>
      <c r="IIT1" s="529"/>
      <c r="IIU1" s="529"/>
      <c r="IIV1" s="529"/>
      <c r="IIW1" s="529"/>
      <c r="IIX1" s="529"/>
      <c r="IIY1" s="530"/>
      <c r="IIZ1" s="529"/>
      <c r="IJA1" s="529"/>
      <c r="IJB1" s="529"/>
      <c r="IJC1" s="529"/>
      <c r="IJD1" s="529"/>
      <c r="IJE1" s="529"/>
      <c r="IJF1" s="529"/>
      <c r="IJG1" s="530"/>
      <c r="IJH1" s="529"/>
      <c r="IJI1" s="529"/>
      <c r="IJJ1" s="529"/>
      <c r="IJK1" s="529"/>
      <c r="IJL1" s="529"/>
      <c r="IJM1" s="529"/>
      <c r="IJN1" s="529"/>
      <c r="IJO1" s="530"/>
      <c r="IJP1" s="529"/>
      <c r="IJQ1" s="529"/>
      <c r="IJR1" s="529"/>
      <c r="IJS1" s="529"/>
      <c r="IJT1" s="529"/>
      <c r="IJU1" s="529"/>
      <c r="IJV1" s="529"/>
      <c r="IJW1" s="530"/>
      <c r="IJX1" s="529"/>
      <c r="IJY1" s="529"/>
      <c r="IJZ1" s="529"/>
      <c r="IKA1" s="529"/>
      <c r="IKB1" s="529"/>
      <c r="IKC1" s="529"/>
      <c r="IKD1" s="529"/>
      <c r="IKE1" s="530"/>
      <c r="IKF1" s="529"/>
      <c r="IKG1" s="529"/>
      <c r="IKH1" s="529"/>
      <c r="IKI1" s="529"/>
      <c r="IKJ1" s="529"/>
      <c r="IKK1" s="529"/>
      <c r="IKL1" s="529"/>
      <c r="IKM1" s="530"/>
      <c r="IKN1" s="529"/>
      <c r="IKO1" s="529"/>
      <c r="IKP1" s="529"/>
      <c r="IKQ1" s="529"/>
      <c r="IKR1" s="529"/>
      <c r="IKS1" s="529"/>
      <c r="IKT1" s="529"/>
      <c r="IKU1" s="530"/>
      <c r="IKV1" s="529"/>
      <c r="IKW1" s="529"/>
      <c r="IKX1" s="529"/>
      <c r="IKY1" s="529"/>
      <c r="IKZ1" s="529"/>
      <c r="ILA1" s="529"/>
      <c r="ILB1" s="529"/>
      <c r="ILC1" s="530"/>
      <c r="ILD1" s="529"/>
      <c r="ILE1" s="529"/>
      <c r="ILF1" s="529"/>
      <c r="ILG1" s="529"/>
      <c r="ILH1" s="529"/>
      <c r="ILI1" s="529"/>
      <c r="ILJ1" s="529"/>
      <c r="ILK1" s="530"/>
      <c r="ILL1" s="529"/>
      <c r="ILM1" s="529"/>
      <c r="ILN1" s="529"/>
      <c r="ILO1" s="529"/>
      <c r="ILP1" s="529"/>
      <c r="ILQ1" s="529"/>
      <c r="ILR1" s="529"/>
      <c r="ILS1" s="530"/>
      <c r="ILT1" s="529"/>
      <c r="ILU1" s="529"/>
      <c r="ILV1" s="529"/>
      <c r="ILW1" s="529"/>
      <c r="ILX1" s="529"/>
      <c r="ILY1" s="529"/>
      <c r="ILZ1" s="529"/>
      <c r="IMA1" s="530"/>
      <c r="IMB1" s="529"/>
      <c r="IMC1" s="529"/>
      <c r="IMD1" s="529"/>
      <c r="IME1" s="529"/>
      <c r="IMF1" s="529"/>
      <c r="IMG1" s="529"/>
      <c r="IMH1" s="529"/>
      <c r="IMI1" s="530"/>
      <c r="IMJ1" s="529"/>
      <c r="IMK1" s="529"/>
      <c r="IML1" s="529"/>
      <c r="IMM1" s="529"/>
      <c r="IMN1" s="529"/>
      <c r="IMO1" s="529"/>
      <c r="IMP1" s="529"/>
      <c r="IMQ1" s="530"/>
      <c r="IMR1" s="529"/>
      <c r="IMS1" s="529"/>
      <c r="IMT1" s="529"/>
      <c r="IMU1" s="529"/>
      <c r="IMV1" s="529"/>
      <c r="IMW1" s="529"/>
      <c r="IMX1" s="529"/>
      <c r="IMY1" s="530"/>
      <c r="IMZ1" s="529"/>
      <c r="INA1" s="529"/>
      <c r="INB1" s="529"/>
      <c r="INC1" s="529"/>
      <c r="IND1" s="529"/>
      <c r="INE1" s="529"/>
      <c r="INF1" s="529"/>
      <c r="ING1" s="530"/>
      <c r="INH1" s="529"/>
      <c r="INI1" s="529"/>
      <c r="INJ1" s="529"/>
      <c r="INK1" s="529"/>
      <c r="INL1" s="529"/>
      <c r="INM1" s="529"/>
      <c r="INN1" s="529"/>
      <c r="INO1" s="530"/>
      <c r="INP1" s="529"/>
      <c r="INQ1" s="529"/>
      <c r="INR1" s="529"/>
      <c r="INS1" s="529"/>
      <c r="INT1" s="529"/>
      <c r="INU1" s="529"/>
      <c r="INV1" s="529"/>
      <c r="INW1" s="530"/>
      <c r="INX1" s="529"/>
      <c r="INY1" s="529"/>
      <c r="INZ1" s="529"/>
      <c r="IOA1" s="529"/>
      <c r="IOB1" s="529"/>
      <c r="IOC1" s="529"/>
      <c r="IOD1" s="529"/>
      <c r="IOE1" s="530"/>
      <c r="IOF1" s="529"/>
      <c r="IOG1" s="529"/>
      <c r="IOH1" s="529"/>
      <c r="IOI1" s="529"/>
      <c r="IOJ1" s="529"/>
      <c r="IOK1" s="529"/>
      <c r="IOL1" s="529"/>
      <c r="IOM1" s="530"/>
      <c r="ION1" s="529"/>
      <c r="IOO1" s="529"/>
      <c r="IOP1" s="529"/>
      <c r="IOQ1" s="529"/>
      <c r="IOR1" s="529"/>
      <c r="IOS1" s="529"/>
      <c r="IOT1" s="529"/>
      <c r="IOU1" s="530"/>
      <c r="IOV1" s="529"/>
      <c r="IOW1" s="529"/>
      <c r="IOX1" s="529"/>
      <c r="IOY1" s="529"/>
      <c r="IOZ1" s="529"/>
      <c r="IPA1" s="529"/>
      <c r="IPB1" s="529"/>
      <c r="IPC1" s="530"/>
      <c r="IPD1" s="529"/>
      <c r="IPE1" s="529"/>
      <c r="IPF1" s="529"/>
      <c r="IPG1" s="529"/>
      <c r="IPH1" s="529"/>
      <c r="IPI1" s="529"/>
      <c r="IPJ1" s="529"/>
      <c r="IPK1" s="530"/>
      <c r="IPL1" s="529"/>
      <c r="IPM1" s="529"/>
      <c r="IPN1" s="529"/>
      <c r="IPO1" s="529"/>
      <c r="IPP1" s="529"/>
      <c r="IPQ1" s="529"/>
      <c r="IPR1" s="529"/>
      <c r="IPS1" s="530"/>
      <c r="IPT1" s="529"/>
      <c r="IPU1" s="529"/>
      <c r="IPV1" s="529"/>
      <c r="IPW1" s="529"/>
      <c r="IPX1" s="529"/>
      <c r="IPY1" s="529"/>
      <c r="IPZ1" s="529"/>
      <c r="IQA1" s="530"/>
      <c r="IQB1" s="529"/>
      <c r="IQC1" s="529"/>
      <c r="IQD1" s="529"/>
      <c r="IQE1" s="529"/>
      <c r="IQF1" s="529"/>
      <c r="IQG1" s="529"/>
      <c r="IQH1" s="529"/>
      <c r="IQI1" s="530"/>
      <c r="IQJ1" s="529"/>
      <c r="IQK1" s="529"/>
      <c r="IQL1" s="529"/>
      <c r="IQM1" s="529"/>
      <c r="IQN1" s="529"/>
      <c r="IQO1" s="529"/>
      <c r="IQP1" s="529"/>
      <c r="IQQ1" s="530"/>
      <c r="IQR1" s="529"/>
      <c r="IQS1" s="529"/>
      <c r="IQT1" s="529"/>
      <c r="IQU1" s="529"/>
      <c r="IQV1" s="529"/>
      <c r="IQW1" s="529"/>
      <c r="IQX1" s="529"/>
      <c r="IQY1" s="530"/>
      <c r="IQZ1" s="529"/>
      <c r="IRA1" s="529"/>
      <c r="IRB1" s="529"/>
      <c r="IRC1" s="529"/>
      <c r="IRD1" s="529"/>
      <c r="IRE1" s="529"/>
      <c r="IRF1" s="529"/>
      <c r="IRG1" s="530"/>
      <c r="IRH1" s="529"/>
      <c r="IRI1" s="529"/>
      <c r="IRJ1" s="529"/>
      <c r="IRK1" s="529"/>
      <c r="IRL1" s="529"/>
      <c r="IRM1" s="529"/>
      <c r="IRN1" s="529"/>
      <c r="IRO1" s="530"/>
      <c r="IRP1" s="529"/>
      <c r="IRQ1" s="529"/>
      <c r="IRR1" s="529"/>
      <c r="IRS1" s="529"/>
      <c r="IRT1" s="529"/>
      <c r="IRU1" s="529"/>
      <c r="IRV1" s="529"/>
      <c r="IRW1" s="530"/>
      <c r="IRX1" s="529"/>
      <c r="IRY1" s="529"/>
      <c r="IRZ1" s="529"/>
      <c r="ISA1" s="529"/>
      <c r="ISB1" s="529"/>
      <c r="ISC1" s="529"/>
      <c r="ISD1" s="529"/>
      <c r="ISE1" s="530"/>
      <c r="ISF1" s="529"/>
      <c r="ISG1" s="529"/>
      <c r="ISH1" s="529"/>
      <c r="ISI1" s="529"/>
      <c r="ISJ1" s="529"/>
      <c r="ISK1" s="529"/>
      <c r="ISL1" s="529"/>
      <c r="ISM1" s="530"/>
      <c r="ISN1" s="529"/>
      <c r="ISO1" s="529"/>
      <c r="ISP1" s="529"/>
      <c r="ISQ1" s="529"/>
      <c r="ISR1" s="529"/>
      <c r="ISS1" s="529"/>
      <c r="IST1" s="529"/>
      <c r="ISU1" s="530"/>
      <c r="ISV1" s="529"/>
      <c r="ISW1" s="529"/>
      <c r="ISX1" s="529"/>
      <c r="ISY1" s="529"/>
      <c r="ISZ1" s="529"/>
      <c r="ITA1" s="529"/>
      <c r="ITB1" s="529"/>
      <c r="ITC1" s="530"/>
      <c r="ITD1" s="529"/>
      <c r="ITE1" s="529"/>
      <c r="ITF1" s="529"/>
      <c r="ITG1" s="529"/>
      <c r="ITH1" s="529"/>
      <c r="ITI1" s="529"/>
      <c r="ITJ1" s="529"/>
      <c r="ITK1" s="530"/>
      <c r="ITL1" s="529"/>
      <c r="ITM1" s="529"/>
      <c r="ITN1" s="529"/>
      <c r="ITO1" s="529"/>
      <c r="ITP1" s="529"/>
      <c r="ITQ1" s="529"/>
      <c r="ITR1" s="529"/>
      <c r="ITS1" s="530"/>
      <c r="ITT1" s="529"/>
      <c r="ITU1" s="529"/>
      <c r="ITV1" s="529"/>
      <c r="ITW1" s="529"/>
      <c r="ITX1" s="529"/>
      <c r="ITY1" s="529"/>
      <c r="ITZ1" s="529"/>
      <c r="IUA1" s="530"/>
      <c r="IUB1" s="529"/>
      <c r="IUC1" s="529"/>
      <c r="IUD1" s="529"/>
      <c r="IUE1" s="529"/>
      <c r="IUF1" s="529"/>
      <c r="IUG1" s="529"/>
      <c r="IUH1" s="529"/>
      <c r="IUI1" s="530"/>
      <c r="IUJ1" s="529"/>
      <c r="IUK1" s="529"/>
      <c r="IUL1" s="529"/>
      <c r="IUM1" s="529"/>
      <c r="IUN1" s="529"/>
      <c r="IUO1" s="529"/>
      <c r="IUP1" s="529"/>
      <c r="IUQ1" s="530"/>
      <c r="IUR1" s="529"/>
      <c r="IUS1" s="529"/>
      <c r="IUT1" s="529"/>
      <c r="IUU1" s="529"/>
      <c r="IUV1" s="529"/>
      <c r="IUW1" s="529"/>
      <c r="IUX1" s="529"/>
      <c r="IUY1" s="530"/>
      <c r="IUZ1" s="529"/>
      <c r="IVA1" s="529"/>
      <c r="IVB1" s="529"/>
      <c r="IVC1" s="529"/>
      <c r="IVD1" s="529"/>
      <c r="IVE1" s="529"/>
      <c r="IVF1" s="529"/>
      <c r="IVG1" s="530"/>
      <c r="IVH1" s="529"/>
      <c r="IVI1" s="529"/>
      <c r="IVJ1" s="529"/>
      <c r="IVK1" s="529"/>
      <c r="IVL1" s="529"/>
      <c r="IVM1" s="529"/>
      <c r="IVN1" s="529"/>
      <c r="IVO1" s="530"/>
      <c r="IVP1" s="529"/>
      <c r="IVQ1" s="529"/>
      <c r="IVR1" s="529"/>
      <c r="IVS1" s="529"/>
      <c r="IVT1" s="529"/>
      <c r="IVU1" s="529"/>
      <c r="IVV1" s="529"/>
      <c r="IVW1" s="530"/>
      <c r="IVX1" s="529"/>
      <c r="IVY1" s="529"/>
      <c r="IVZ1" s="529"/>
      <c r="IWA1" s="529"/>
      <c r="IWB1" s="529"/>
      <c r="IWC1" s="529"/>
      <c r="IWD1" s="529"/>
      <c r="IWE1" s="530"/>
      <c r="IWF1" s="529"/>
      <c r="IWG1" s="529"/>
      <c r="IWH1" s="529"/>
      <c r="IWI1" s="529"/>
      <c r="IWJ1" s="529"/>
      <c r="IWK1" s="529"/>
      <c r="IWL1" s="529"/>
      <c r="IWM1" s="530"/>
      <c r="IWN1" s="529"/>
      <c r="IWO1" s="529"/>
      <c r="IWP1" s="529"/>
      <c r="IWQ1" s="529"/>
      <c r="IWR1" s="529"/>
      <c r="IWS1" s="529"/>
      <c r="IWT1" s="529"/>
      <c r="IWU1" s="530"/>
      <c r="IWV1" s="529"/>
      <c r="IWW1" s="529"/>
      <c r="IWX1" s="529"/>
      <c r="IWY1" s="529"/>
      <c r="IWZ1" s="529"/>
      <c r="IXA1" s="529"/>
      <c r="IXB1" s="529"/>
      <c r="IXC1" s="530"/>
      <c r="IXD1" s="529"/>
      <c r="IXE1" s="529"/>
      <c r="IXF1" s="529"/>
      <c r="IXG1" s="529"/>
      <c r="IXH1" s="529"/>
      <c r="IXI1" s="529"/>
      <c r="IXJ1" s="529"/>
      <c r="IXK1" s="530"/>
      <c r="IXL1" s="529"/>
      <c r="IXM1" s="529"/>
      <c r="IXN1" s="529"/>
      <c r="IXO1" s="529"/>
      <c r="IXP1" s="529"/>
      <c r="IXQ1" s="529"/>
      <c r="IXR1" s="529"/>
      <c r="IXS1" s="530"/>
      <c r="IXT1" s="529"/>
      <c r="IXU1" s="529"/>
      <c r="IXV1" s="529"/>
      <c r="IXW1" s="529"/>
      <c r="IXX1" s="529"/>
      <c r="IXY1" s="529"/>
      <c r="IXZ1" s="529"/>
      <c r="IYA1" s="530"/>
      <c r="IYB1" s="529"/>
      <c r="IYC1" s="529"/>
      <c r="IYD1" s="529"/>
      <c r="IYE1" s="529"/>
      <c r="IYF1" s="529"/>
      <c r="IYG1" s="529"/>
      <c r="IYH1" s="529"/>
      <c r="IYI1" s="530"/>
      <c r="IYJ1" s="529"/>
      <c r="IYK1" s="529"/>
      <c r="IYL1" s="529"/>
      <c r="IYM1" s="529"/>
      <c r="IYN1" s="529"/>
      <c r="IYO1" s="529"/>
      <c r="IYP1" s="529"/>
      <c r="IYQ1" s="530"/>
      <c r="IYR1" s="529"/>
      <c r="IYS1" s="529"/>
      <c r="IYT1" s="529"/>
      <c r="IYU1" s="529"/>
      <c r="IYV1" s="529"/>
      <c r="IYW1" s="529"/>
      <c r="IYX1" s="529"/>
      <c r="IYY1" s="530"/>
      <c r="IYZ1" s="529"/>
      <c r="IZA1" s="529"/>
      <c r="IZB1" s="529"/>
      <c r="IZC1" s="529"/>
      <c r="IZD1" s="529"/>
      <c r="IZE1" s="529"/>
      <c r="IZF1" s="529"/>
      <c r="IZG1" s="530"/>
      <c r="IZH1" s="529"/>
      <c r="IZI1" s="529"/>
      <c r="IZJ1" s="529"/>
      <c r="IZK1" s="529"/>
      <c r="IZL1" s="529"/>
      <c r="IZM1" s="529"/>
      <c r="IZN1" s="529"/>
      <c r="IZO1" s="530"/>
      <c r="IZP1" s="529"/>
      <c r="IZQ1" s="529"/>
      <c r="IZR1" s="529"/>
      <c r="IZS1" s="529"/>
      <c r="IZT1" s="529"/>
      <c r="IZU1" s="529"/>
      <c r="IZV1" s="529"/>
      <c r="IZW1" s="530"/>
      <c r="IZX1" s="529"/>
      <c r="IZY1" s="529"/>
      <c r="IZZ1" s="529"/>
      <c r="JAA1" s="529"/>
      <c r="JAB1" s="529"/>
      <c r="JAC1" s="529"/>
      <c r="JAD1" s="529"/>
      <c r="JAE1" s="530"/>
      <c r="JAF1" s="529"/>
      <c r="JAG1" s="529"/>
      <c r="JAH1" s="529"/>
      <c r="JAI1" s="529"/>
      <c r="JAJ1" s="529"/>
      <c r="JAK1" s="529"/>
      <c r="JAL1" s="529"/>
      <c r="JAM1" s="530"/>
      <c r="JAN1" s="529"/>
      <c r="JAO1" s="529"/>
      <c r="JAP1" s="529"/>
      <c r="JAQ1" s="529"/>
      <c r="JAR1" s="529"/>
      <c r="JAS1" s="529"/>
      <c r="JAT1" s="529"/>
      <c r="JAU1" s="530"/>
      <c r="JAV1" s="529"/>
      <c r="JAW1" s="529"/>
      <c r="JAX1" s="529"/>
      <c r="JAY1" s="529"/>
      <c r="JAZ1" s="529"/>
      <c r="JBA1" s="529"/>
      <c r="JBB1" s="529"/>
      <c r="JBC1" s="530"/>
      <c r="JBD1" s="529"/>
      <c r="JBE1" s="529"/>
      <c r="JBF1" s="529"/>
      <c r="JBG1" s="529"/>
      <c r="JBH1" s="529"/>
      <c r="JBI1" s="529"/>
      <c r="JBJ1" s="529"/>
      <c r="JBK1" s="530"/>
      <c r="JBL1" s="529"/>
      <c r="JBM1" s="529"/>
      <c r="JBN1" s="529"/>
      <c r="JBO1" s="529"/>
      <c r="JBP1" s="529"/>
      <c r="JBQ1" s="529"/>
      <c r="JBR1" s="529"/>
      <c r="JBS1" s="530"/>
      <c r="JBT1" s="529"/>
      <c r="JBU1" s="529"/>
      <c r="JBV1" s="529"/>
      <c r="JBW1" s="529"/>
      <c r="JBX1" s="529"/>
      <c r="JBY1" s="529"/>
      <c r="JBZ1" s="529"/>
      <c r="JCA1" s="530"/>
      <c r="JCB1" s="529"/>
      <c r="JCC1" s="529"/>
      <c r="JCD1" s="529"/>
      <c r="JCE1" s="529"/>
      <c r="JCF1" s="529"/>
      <c r="JCG1" s="529"/>
      <c r="JCH1" s="529"/>
      <c r="JCI1" s="530"/>
      <c r="JCJ1" s="529"/>
      <c r="JCK1" s="529"/>
      <c r="JCL1" s="529"/>
      <c r="JCM1" s="529"/>
      <c r="JCN1" s="529"/>
      <c r="JCO1" s="529"/>
      <c r="JCP1" s="529"/>
      <c r="JCQ1" s="530"/>
      <c r="JCR1" s="529"/>
      <c r="JCS1" s="529"/>
      <c r="JCT1" s="529"/>
      <c r="JCU1" s="529"/>
      <c r="JCV1" s="529"/>
      <c r="JCW1" s="529"/>
      <c r="JCX1" s="529"/>
      <c r="JCY1" s="530"/>
      <c r="JCZ1" s="529"/>
      <c r="JDA1" s="529"/>
      <c r="JDB1" s="529"/>
      <c r="JDC1" s="529"/>
      <c r="JDD1" s="529"/>
      <c r="JDE1" s="529"/>
      <c r="JDF1" s="529"/>
      <c r="JDG1" s="530"/>
      <c r="JDH1" s="529"/>
      <c r="JDI1" s="529"/>
      <c r="JDJ1" s="529"/>
      <c r="JDK1" s="529"/>
      <c r="JDL1" s="529"/>
      <c r="JDM1" s="529"/>
      <c r="JDN1" s="529"/>
      <c r="JDO1" s="530"/>
      <c r="JDP1" s="529"/>
      <c r="JDQ1" s="529"/>
      <c r="JDR1" s="529"/>
      <c r="JDS1" s="529"/>
      <c r="JDT1" s="529"/>
      <c r="JDU1" s="529"/>
      <c r="JDV1" s="529"/>
      <c r="JDW1" s="530"/>
      <c r="JDX1" s="529"/>
      <c r="JDY1" s="529"/>
      <c r="JDZ1" s="529"/>
      <c r="JEA1" s="529"/>
      <c r="JEB1" s="529"/>
      <c r="JEC1" s="529"/>
      <c r="JED1" s="529"/>
      <c r="JEE1" s="530"/>
      <c r="JEF1" s="529"/>
      <c r="JEG1" s="529"/>
      <c r="JEH1" s="529"/>
      <c r="JEI1" s="529"/>
      <c r="JEJ1" s="529"/>
      <c r="JEK1" s="529"/>
      <c r="JEL1" s="529"/>
      <c r="JEM1" s="530"/>
      <c r="JEN1" s="529"/>
      <c r="JEO1" s="529"/>
      <c r="JEP1" s="529"/>
      <c r="JEQ1" s="529"/>
      <c r="JER1" s="529"/>
      <c r="JES1" s="529"/>
      <c r="JET1" s="529"/>
      <c r="JEU1" s="530"/>
      <c r="JEV1" s="529"/>
      <c r="JEW1" s="529"/>
      <c r="JEX1" s="529"/>
      <c r="JEY1" s="529"/>
      <c r="JEZ1" s="529"/>
      <c r="JFA1" s="529"/>
      <c r="JFB1" s="529"/>
      <c r="JFC1" s="530"/>
      <c r="JFD1" s="529"/>
      <c r="JFE1" s="529"/>
      <c r="JFF1" s="529"/>
      <c r="JFG1" s="529"/>
      <c r="JFH1" s="529"/>
      <c r="JFI1" s="529"/>
      <c r="JFJ1" s="529"/>
      <c r="JFK1" s="530"/>
      <c r="JFL1" s="529"/>
      <c r="JFM1" s="529"/>
      <c r="JFN1" s="529"/>
      <c r="JFO1" s="529"/>
      <c r="JFP1" s="529"/>
      <c r="JFQ1" s="529"/>
      <c r="JFR1" s="529"/>
      <c r="JFS1" s="530"/>
      <c r="JFT1" s="529"/>
      <c r="JFU1" s="529"/>
      <c r="JFV1" s="529"/>
      <c r="JFW1" s="529"/>
      <c r="JFX1" s="529"/>
      <c r="JFY1" s="529"/>
      <c r="JFZ1" s="529"/>
      <c r="JGA1" s="530"/>
      <c r="JGB1" s="529"/>
      <c r="JGC1" s="529"/>
      <c r="JGD1" s="529"/>
      <c r="JGE1" s="529"/>
      <c r="JGF1" s="529"/>
      <c r="JGG1" s="529"/>
      <c r="JGH1" s="529"/>
      <c r="JGI1" s="530"/>
      <c r="JGJ1" s="529"/>
      <c r="JGK1" s="529"/>
      <c r="JGL1" s="529"/>
      <c r="JGM1" s="529"/>
      <c r="JGN1" s="529"/>
      <c r="JGO1" s="529"/>
      <c r="JGP1" s="529"/>
      <c r="JGQ1" s="530"/>
      <c r="JGR1" s="529"/>
      <c r="JGS1" s="529"/>
      <c r="JGT1" s="529"/>
      <c r="JGU1" s="529"/>
      <c r="JGV1" s="529"/>
      <c r="JGW1" s="529"/>
      <c r="JGX1" s="529"/>
      <c r="JGY1" s="530"/>
      <c r="JGZ1" s="529"/>
      <c r="JHA1" s="529"/>
      <c r="JHB1" s="529"/>
      <c r="JHC1" s="529"/>
      <c r="JHD1" s="529"/>
      <c r="JHE1" s="529"/>
      <c r="JHF1" s="529"/>
      <c r="JHG1" s="530"/>
      <c r="JHH1" s="529"/>
      <c r="JHI1" s="529"/>
      <c r="JHJ1" s="529"/>
      <c r="JHK1" s="529"/>
      <c r="JHL1" s="529"/>
      <c r="JHM1" s="529"/>
      <c r="JHN1" s="529"/>
      <c r="JHO1" s="530"/>
      <c r="JHP1" s="529"/>
      <c r="JHQ1" s="529"/>
      <c r="JHR1" s="529"/>
      <c r="JHS1" s="529"/>
      <c r="JHT1" s="529"/>
      <c r="JHU1" s="529"/>
      <c r="JHV1" s="529"/>
      <c r="JHW1" s="530"/>
      <c r="JHX1" s="529"/>
      <c r="JHY1" s="529"/>
      <c r="JHZ1" s="529"/>
      <c r="JIA1" s="529"/>
      <c r="JIB1" s="529"/>
      <c r="JIC1" s="529"/>
      <c r="JID1" s="529"/>
      <c r="JIE1" s="530"/>
      <c r="JIF1" s="529"/>
      <c r="JIG1" s="529"/>
      <c r="JIH1" s="529"/>
      <c r="JII1" s="529"/>
      <c r="JIJ1" s="529"/>
      <c r="JIK1" s="529"/>
      <c r="JIL1" s="529"/>
      <c r="JIM1" s="530"/>
      <c r="JIN1" s="529"/>
      <c r="JIO1" s="529"/>
      <c r="JIP1" s="529"/>
      <c r="JIQ1" s="529"/>
      <c r="JIR1" s="529"/>
      <c r="JIS1" s="529"/>
      <c r="JIT1" s="529"/>
      <c r="JIU1" s="530"/>
      <c r="JIV1" s="529"/>
      <c r="JIW1" s="529"/>
      <c r="JIX1" s="529"/>
      <c r="JIY1" s="529"/>
      <c r="JIZ1" s="529"/>
      <c r="JJA1" s="529"/>
      <c r="JJB1" s="529"/>
      <c r="JJC1" s="530"/>
      <c r="JJD1" s="529"/>
      <c r="JJE1" s="529"/>
      <c r="JJF1" s="529"/>
      <c r="JJG1" s="529"/>
      <c r="JJH1" s="529"/>
      <c r="JJI1" s="529"/>
      <c r="JJJ1" s="529"/>
      <c r="JJK1" s="530"/>
      <c r="JJL1" s="529"/>
      <c r="JJM1" s="529"/>
      <c r="JJN1" s="529"/>
      <c r="JJO1" s="529"/>
      <c r="JJP1" s="529"/>
      <c r="JJQ1" s="529"/>
      <c r="JJR1" s="529"/>
      <c r="JJS1" s="530"/>
      <c r="JJT1" s="529"/>
      <c r="JJU1" s="529"/>
      <c r="JJV1" s="529"/>
      <c r="JJW1" s="529"/>
      <c r="JJX1" s="529"/>
      <c r="JJY1" s="529"/>
      <c r="JJZ1" s="529"/>
      <c r="JKA1" s="530"/>
      <c r="JKB1" s="529"/>
      <c r="JKC1" s="529"/>
      <c r="JKD1" s="529"/>
      <c r="JKE1" s="529"/>
      <c r="JKF1" s="529"/>
      <c r="JKG1" s="529"/>
      <c r="JKH1" s="529"/>
      <c r="JKI1" s="530"/>
      <c r="JKJ1" s="529"/>
      <c r="JKK1" s="529"/>
      <c r="JKL1" s="529"/>
      <c r="JKM1" s="529"/>
      <c r="JKN1" s="529"/>
      <c r="JKO1" s="529"/>
      <c r="JKP1" s="529"/>
      <c r="JKQ1" s="530"/>
      <c r="JKR1" s="529"/>
      <c r="JKS1" s="529"/>
      <c r="JKT1" s="529"/>
      <c r="JKU1" s="529"/>
      <c r="JKV1" s="529"/>
      <c r="JKW1" s="529"/>
      <c r="JKX1" s="529"/>
      <c r="JKY1" s="530"/>
      <c r="JKZ1" s="529"/>
      <c r="JLA1" s="529"/>
      <c r="JLB1" s="529"/>
      <c r="JLC1" s="529"/>
      <c r="JLD1" s="529"/>
      <c r="JLE1" s="529"/>
      <c r="JLF1" s="529"/>
      <c r="JLG1" s="530"/>
      <c r="JLH1" s="529"/>
      <c r="JLI1" s="529"/>
      <c r="JLJ1" s="529"/>
      <c r="JLK1" s="529"/>
      <c r="JLL1" s="529"/>
      <c r="JLM1" s="529"/>
      <c r="JLN1" s="529"/>
      <c r="JLO1" s="530"/>
      <c r="JLP1" s="529"/>
      <c r="JLQ1" s="529"/>
      <c r="JLR1" s="529"/>
      <c r="JLS1" s="529"/>
      <c r="JLT1" s="529"/>
      <c r="JLU1" s="529"/>
      <c r="JLV1" s="529"/>
      <c r="JLW1" s="530"/>
      <c r="JLX1" s="529"/>
      <c r="JLY1" s="529"/>
      <c r="JLZ1" s="529"/>
      <c r="JMA1" s="529"/>
      <c r="JMB1" s="529"/>
      <c r="JMC1" s="529"/>
      <c r="JMD1" s="529"/>
      <c r="JME1" s="530"/>
      <c r="JMF1" s="529"/>
      <c r="JMG1" s="529"/>
      <c r="JMH1" s="529"/>
      <c r="JMI1" s="529"/>
      <c r="JMJ1" s="529"/>
      <c r="JMK1" s="529"/>
      <c r="JML1" s="529"/>
      <c r="JMM1" s="530"/>
      <c r="JMN1" s="529"/>
      <c r="JMO1" s="529"/>
      <c r="JMP1" s="529"/>
      <c r="JMQ1" s="529"/>
      <c r="JMR1" s="529"/>
      <c r="JMS1" s="529"/>
      <c r="JMT1" s="529"/>
      <c r="JMU1" s="530"/>
      <c r="JMV1" s="529"/>
      <c r="JMW1" s="529"/>
      <c r="JMX1" s="529"/>
      <c r="JMY1" s="529"/>
      <c r="JMZ1" s="529"/>
      <c r="JNA1" s="529"/>
      <c r="JNB1" s="529"/>
      <c r="JNC1" s="530"/>
      <c r="JND1" s="529"/>
      <c r="JNE1" s="529"/>
      <c r="JNF1" s="529"/>
      <c r="JNG1" s="529"/>
      <c r="JNH1" s="529"/>
      <c r="JNI1" s="529"/>
      <c r="JNJ1" s="529"/>
      <c r="JNK1" s="530"/>
      <c r="JNL1" s="529"/>
      <c r="JNM1" s="529"/>
      <c r="JNN1" s="529"/>
      <c r="JNO1" s="529"/>
      <c r="JNP1" s="529"/>
      <c r="JNQ1" s="529"/>
      <c r="JNR1" s="529"/>
      <c r="JNS1" s="530"/>
      <c r="JNT1" s="529"/>
      <c r="JNU1" s="529"/>
      <c r="JNV1" s="529"/>
      <c r="JNW1" s="529"/>
      <c r="JNX1" s="529"/>
      <c r="JNY1" s="529"/>
      <c r="JNZ1" s="529"/>
      <c r="JOA1" s="530"/>
      <c r="JOB1" s="529"/>
      <c r="JOC1" s="529"/>
      <c r="JOD1" s="529"/>
      <c r="JOE1" s="529"/>
      <c r="JOF1" s="529"/>
      <c r="JOG1" s="529"/>
      <c r="JOH1" s="529"/>
      <c r="JOI1" s="530"/>
      <c r="JOJ1" s="529"/>
      <c r="JOK1" s="529"/>
      <c r="JOL1" s="529"/>
      <c r="JOM1" s="529"/>
      <c r="JON1" s="529"/>
      <c r="JOO1" s="529"/>
      <c r="JOP1" s="529"/>
      <c r="JOQ1" s="530"/>
      <c r="JOR1" s="529"/>
      <c r="JOS1" s="529"/>
      <c r="JOT1" s="529"/>
      <c r="JOU1" s="529"/>
      <c r="JOV1" s="529"/>
      <c r="JOW1" s="529"/>
      <c r="JOX1" s="529"/>
      <c r="JOY1" s="530"/>
      <c r="JOZ1" s="529"/>
      <c r="JPA1" s="529"/>
      <c r="JPB1" s="529"/>
      <c r="JPC1" s="529"/>
      <c r="JPD1" s="529"/>
      <c r="JPE1" s="529"/>
      <c r="JPF1" s="529"/>
      <c r="JPG1" s="530"/>
      <c r="JPH1" s="529"/>
      <c r="JPI1" s="529"/>
      <c r="JPJ1" s="529"/>
      <c r="JPK1" s="529"/>
      <c r="JPL1" s="529"/>
      <c r="JPM1" s="529"/>
      <c r="JPN1" s="529"/>
      <c r="JPO1" s="530"/>
      <c r="JPP1" s="529"/>
      <c r="JPQ1" s="529"/>
      <c r="JPR1" s="529"/>
      <c r="JPS1" s="529"/>
      <c r="JPT1" s="529"/>
      <c r="JPU1" s="529"/>
      <c r="JPV1" s="529"/>
      <c r="JPW1" s="530"/>
      <c r="JPX1" s="529"/>
      <c r="JPY1" s="529"/>
      <c r="JPZ1" s="529"/>
      <c r="JQA1" s="529"/>
      <c r="JQB1" s="529"/>
      <c r="JQC1" s="529"/>
      <c r="JQD1" s="529"/>
      <c r="JQE1" s="530"/>
      <c r="JQF1" s="529"/>
      <c r="JQG1" s="529"/>
      <c r="JQH1" s="529"/>
      <c r="JQI1" s="529"/>
      <c r="JQJ1" s="529"/>
      <c r="JQK1" s="529"/>
      <c r="JQL1" s="529"/>
      <c r="JQM1" s="530"/>
      <c r="JQN1" s="529"/>
      <c r="JQO1" s="529"/>
      <c r="JQP1" s="529"/>
      <c r="JQQ1" s="529"/>
      <c r="JQR1" s="529"/>
      <c r="JQS1" s="529"/>
      <c r="JQT1" s="529"/>
      <c r="JQU1" s="530"/>
      <c r="JQV1" s="529"/>
      <c r="JQW1" s="529"/>
      <c r="JQX1" s="529"/>
      <c r="JQY1" s="529"/>
      <c r="JQZ1" s="529"/>
      <c r="JRA1" s="529"/>
      <c r="JRB1" s="529"/>
      <c r="JRC1" s="530"/>
      <c r="JRD1" s="529"/>
      <c r="JRE1" s="529"/>
      <c r="JRF1" s="529"/>
      <c r="JRG1" s="529"/>
      <c r="JRH1" s="529"/>
      <c r="JRI1" s="529"/>
      <c r="JRJ1" s="529"/>
      <c r="JRK1" s="530"/>
      <c r="JRL1" s="529"/>
      <c r="JRM1" s="529"/>
      <c r="JRN1" s="529"/>
      <c r="JRO1" s="529"/>
      <c r="JRP1" s="529"/>
      <c r="JRQ1" s="529"/>
      <c r="JRR1" s="529"/>
      <c r="JRS1" s="530"/>
      <c r="JRT1" s="529"/>
      <c r="JRU1" s="529"/>
      <c r="JRV1" s="529"/>
      <c r="JRW1" s="529"/>
      <c r="JRX1" s="529"/>
      <c r="JRY1" s="529"/>
      <c r="JRZ1" s="529"/>
      <c r="JSA1" s="530"/>
      <c r="JSB1" s="529"/>
      <c r="JSC1" s="529"/>
      <c r="JSD1" s="529"/>
      <c r="JSE1" s="529"/>
      <c r="JSF1" s="529"/>
      <c r="JSG1" s="529"/>
      <c r="JSH1" s="529"/>
      <c r="JSI1" s="530"/>
      <c r="JSJ1" s="529"/>
      <c r="JSK1" s="529"/>
      <c r="JSL1" s="529"/>
      <c r="JSM1" s="529"/>
      <c r="JSN1" s="529"/>
      <c r="JSO1" s="529"/>
      <c r="JSP1" s="529"/>
      <c r="JSQ1" s="530"/>
      <c r="JSR1" s="529"/>
      <c r="JSS1" s="529"/>
      <c r="JST1" s="529"/>
      <c r="JSU1" s="529"/>
      <c r="JSV1" s="529"/>
      <c r="JSW1" s="529"/>
      <c r="JSX1" s="529"/>
      <c r="JSY1" s="530"/>
      <c r="JSZ1" s="529"/>
      <c r="JTA1" s="529"/>
      <c r="JTB1" s="529"/>
      <c r="JTC1" s="529"/>
      <c r="JTD1" s="529"/>
      <c r="JTE1" s="529"/>
      <c r="JTF1" s="529"/>
      <c r="JTG1" s="530"/>
      <c r="JTH1" s="529"/>
      <c r="JTI1" s="529"/>
      <c r="JTJ1" s="529"/>
      <c r="JTK1" s="529"/>
      <c r="JTL1" s="529"/>
      <c r="JTM1" s="529"/>
      <c r="JTN1" s="529"/>
      <c r="JTO1" s="530"/>
      <c r="JTP1" s="529"/>
      <c r="JTQ1" s="529"/>
      <c r="JTR1" s="529"/>
      <c r="JTS1" s="529"/>
      <c r="JTT1" s="529"/>
      <c r="JTU1" s="529"/>
      <c r="JTV1" s="529"/>
      <c r="JTW1" s="530"/>
      <c r="JTX1" s="529"/>
      <c r="JTY1" s="529"/>
      <c r="JTZ1" s="529"/>
      <c r="JUA1" s="529"/>
      <c r="JUB1" s="529"/>
      <c r="JUC1" s="529"/>
      <c r="JUD1" s="529"/>
      <c r="JUE1" s="530"/>
      <c r="JUF1" s="529"/>
      <c r="JUG1" s="529"/>
      <c r="JUH1" s="529"/>
      <c r="JUI1" s="529"/>
      <c r="JUJ1" s="529"/>
      <c r="JUK1" s="529"/>
      <c r="JUL1" s="529"/>
      <c r="JUM1" s="530"/>
      <c r="JUN1" s="529"/>
      <c r="JUO1" s="529"/>
      <c r="JUP1" s="529"/>
      <c r="JUQ1" s="529"/>
      <c r="JUR1" s="529"/>
      <c r="JUS1" s="529"/>
      <c r="JUT1" s="529"/>
      <c r="JUU1" s="530"/>
      <c r="JUV1" s="529"/>
      <c r="JUW1" s="529"/>
      <c r="JUX1" s="529"/>
      <c r="JUY1" s="529"/>
      <c r="JUZ1" s="529"/>
      <c r="JVA1" s="529"/>
      <c r="JVB1" s="529"/>
      <c r="JVC1" s="530"/>
      <c r="JVD1" s="529"/>
      <c r="JVE1" s="529"/>
      <c r="JVF1" s="529"/>
      <c r="JVG1" s="529"/>
      <c r="JVH1" s="529"/>
      <c r="JVI1" s="529"/>
      <c r="JVJ1" s="529"/>
      <c r="JVK1" s="530"/>
      <c r="JVL1" s="529"/>
      <c r="JVM1" s="529"/>
      <c r="JVN1" s="529"/>
      <c r="JVO1" s="529"/>
      <c r="JVP1" s="529"/>
      <c r="JVQ1" s="529"/>
      <c r="JVR1" s="529"/>
      <c r="JVS1" s="530"/>
      <c r="JVT1" s="529"/>
      <c r="JVU1" s="529"/>
      <c r="JVV1" s="529"/>
      <c r="JVW1" s="529"/>
      <c r="JVX1" s="529"/>
      <c r="JVY1" s="529"/>
      <c r="JVZ1" s="529"/>
      <c r="JWA1" s="530"/>
      <c r="JWB1" s="529"/>
      <c r="JWC1" s="529"/>
      <c r="JWD1" s="529"/>
      <c r="JWE1" s="529"/>
      <c r="JWF1" s="529"/>
      <c r="JWG1" s="529"/>
      <c r="JWH1" s="529"/>
      <c r="JWI1" s="530"/>
      <c r="JWJ1" s="529"/>
      <c r="JWK1" s="529"/>
      <c r="JWL1" s="529"/>
      <c r="JWM1" s="529"/>
      <c r="JWN1" s="529"/>
      <c r="JWO1" s="529"/>
      <c r="JWP1" s="529"/>
      <c r="JWQ1" s="530"/>
      <c r="JWR1" s="529"/>
      <c r="JWS1" s="529"/>
      <c r="JWT1" s="529"/>
      <c r="JWU1" s="529"/>
      <c r="JWV1" s="529"/>
      <c r="JWW1" s="529"/>
      <c r="JWX1" s="529"/>
      <c r="JWY1" s="530"/>
      <c r="JWZ1" s="529"/>
      <c r="JXA1" s="529"/>
      <c r="JXB1" s="529"/>
      <c r="JXC1" s="529"/>
      <c r="JXD1" s="529"/>
      <c r="JXE1" s="529"/>
      <c r="JXF1" s="529"/>
      <c r="JXG1" s="530"/>
      <c r="JXH1" s="529"/>
      <c r="JXI1" s="529"/>
      <c r="JXJ1" s="529"/>
      <c r="JXK1" s="529"/>
      <c r="JXL1" s="529"/>
      <c r="JXM1" s="529"/>
      <c r="JXN1" s="529"/>
      <c r="JXO1" s="530"/>
      <c r="JXP1" s="529"/>
      <c r="JXQ1" s="529"/>
      <c r="JXR1" s="529"/>
      <c r="JXS1" s="529"/>
      <c r="JXT1" s="529"/>
      <c r="JXU1" s="529"/>
      <c r="JXV1" s="529"/>
      <c r="JXW1" s="530"/>
      <c r="JXX1" s="529"/>
      <c r="JXY1" s="529"/>
      <c r="JXZ1" s="529"/>
      <c r="JYA1" s="529"/>
      <c r="JYB1" s="529"/>
      <c r="JYC1" s="529"/>
      <c r="JYD1" s="529"/>
      <c r="JYE1" s="530"/>
      <c r="JYF1" s="529"/>
      <c r="JYG1" s="529"/>
      <c r="JYH1" s="529"/>
      <c r="JYI1" s="529"/>
      <c r="JYJ1" s="529"/>
      <c r="JYK1" s="529"/>
      <c r="JYL1" s="529"/>
      <c r="JYM1" s="530"/>
      <c r="JYN1" s="529"/>
      <c r="JYO1" s="529"/>
      <c r="JYP1" s="529"/>
      <c r="JYQ1" s="529"/>
      <c r="JYR1" s="529"/>
      <c r="JYS1" s="529"/>
      <c r="JYT1" s="529"/>
      <c r="JYU1" s="530"/>
      <c r="JYV1" s="529"/>
      <c r="JYW1" s="529"/>
      <c r="JYX1" s="529"/>
      <c r="JYY1" s="529"/>
      <c r="JYZ1" s="529"/>
      <c r="JZA1" s="529"/>
      <c r="JZB1" s="529"/>
      <c r="JZC1" s="530"/>
      <c r="JZD1" s="529"/>
      <c r="JZE1" s="529"/>
      <c r="JZF1" s="529"/>
      <c r="JZG1" s="529"/>
      <c r="JZH1" s="529"/>
      <c r="JZI1" s="529"/>
      <c r="JZJ1" s="529"/>
      <c r="JZK1" s="530"/>
      <c r="JZL1" s="529"/>
      <c r="JZM1" s="529"/>
      <c r="JZN1" s="529"/>
      <c r="JZO1" s="529"/>
      <c r="JZP1" s="529"/>
      <c r="JZQ1" s="529"/>
      <c r="JZR1" s="529"/>
      <c r="JZS1" s="530"/>
      <c r="JZT1" s="529"/>
      <c r="JZU1" s="529"/>
      <c r="JZV1" s="529"/>
      <c r="JZW1" s="529"/>
      <c r="JZX1" s="529"/>
      <c r="JZY1" s="529"/>
      <c r="JZZ1" s="529"/>
      <c r="KAA1" s="530"/>
      <c r="KAB1" s="529"/>
      <c r="KAC1" s="529"/>
      <c r="KAD1" s="529"/>
      <c r="KAE1" s="529"/>
      <c r="KAF1" s="529"/>
      <c r="KAG1" s="529"/>
      <c r="KAH1" s="529"/>
      <c r="KAI1" s="530"/>
      <c r="KAJ1" s="529"/>
      <c r="KAK1" s="529"/>
      <c r="KAL1" s="529"/>
      <c r="KAM1" s="529"/>
      <c r="KAN1" s="529"/>
      <c r="KAO1" s="529"/>
      <c r="KAP1" s="529"/>
      <c r="KAQ1" s="530"/>
      <c r="KAR1" s="529"/>
      <c r="KAS1" s="529"/>
      <c r="KAT1" s="529"/>
      <c r="KAU1" s="529"/>
      <c r="KAV1" s="529"/>
      <c r="KAW1" s="529"/>
      <c r="KAX1" s="529"/>
      <c r="KAY1" s="530"/>
      <c r="KAZ1" s="529"/>
      <c r="KBA1" s="529"/>
      <c r="KBB1" s="529"/>
      <c r="KBC1" s="529"/>
      <c r="KBD1" s="529"/>
      <c r="KBE1" s="529"/>
      <c r="KBF1" s="529"/>
      <c r="KBG1" s="530"/>
      <c r="KBH1" s="529"/>
      <c r="KBI1" s="529"/>
      <c r="KBJ1" s="529"/>
      <c r="KBK1" s="529"/>
      <c r="KBL1" s="529"/>
      <c r="KBM1" s="529"/>
      <c r="KBN1" s="529"/>
      <c r="KBO1" s="530"/>
      <c r="KBP1" s="529"/>
      <c r="KBQ1" s="529"/>
      <c r="KBR1" s="529"/>
      <c r="KBS1" s="529"/>
      <c r="KBT1" s="529"/>
      <c r="KBU1" s="529"/>
      <c r="KBV1" s="529"/>
      <c r="KBW1" s="530"/>
      <c r="KBX1" s="529"/>
      <c r="KBY1" s="529"/>
      <c r="KBZ1" s="529"/>
      <c r="KCA1" s="529"/>
      <c r="KCB1" s="529"/>
      <c r="KCC1" s="529"/>
      <c r="KCD1" s="529"/>
      <c r="KCE1" s="530"/>
      <c r="KCF1" s="529"/>
      <c r="KCG1" s="529"/>
      <c r="KCH1" s="529"/>
      <c r="KCI1" s="529"/>
      <c r="KCJ1" s="529"/>
      <c r="KCK1" s="529"/>
      <c r="KCL1" s="529"/>
      <c r="KCM1" s="530"/>
      <c r="KCN1" s="529"/>
      <c r="KCO1" s="529"/>
      <c r="KCP1" s="529"/>
      <c r="KCQ1" s="529"/>
      <c r="KCR1" s="529"/>
      <c r="KCS1" s="529"/>
      <c r="KCT1" s="529"/>
      <c r="KCU1" s="530"/>
      <c r="KCV1" s="529"/>
      <c r="KCW1" s="529"/>
      <c r="KCX1" s="529"/>
      <c r="KCY1" s="529"/>
      <c r="KCZ1" s="529"/>
      <c r="KDA1" s="529"/>
      <c r="KDB1" s="529"/>
      <c r="KDC1" s="530"/>
      <c r="KDD1" s="529"/>
      <c r="KDE1" s="529"/>
      <c r="KDF1" s="529"/>
      <c r="KDG1" s="529"/>
      <c r="KDH1" s="529"/>
      <c r="KDI1" s="529"/>
      <c r="KDJ1" s="529"/>
      <c r="KDK1" s="530"/>
      <c r="KDL1" s="529"/>
      <c r="KDM1" s="529"/>
      <c r="KDN1" s="529"/>
      <c r="KDO1" s="529"/>
      <c r="KDP1" s="529"/>
      <c r="KDQ1" s="529"/>
      <c r="KDR1" s="529"/>
      <c r="KDS1" s="530"/>
      <c r="KDT1" s="529"/>
      <c r="KDU1" s="529"/>
      <c r="KDV1" s="529"/>
      <c r="KDW1" s="529"/>
      <c r="KDX1" s="529"/>
      <c r="KDY1" s="529"/>
      <c r="KDZ1" s="529"/>
      <c r="KEA1" s="530"/>
      <c r="KEB1" s="529"/>
      <c r="KEC1" s="529"/>
      <c r="KED1" s="529"/>
      <c r="KEE1" s="529"/>
      <c r="KEF1" s="529"/>
      <c r="KEG1" s="529"/>
      <c r="KEH1" s="529"/>
      <c r="KEI1" s="530"/>
      <c r="KEJ1" s="529"/>
      <c r="KEK1" s="529"/>
      <c r="KEL1" s="529"/>
      <c r="KEM1" s="529"/>
      <c r="KEN1" s="529"/>
      <c r="KEO1" s="529"/>
      <c r="KEP1" s="529"/>
      <c r="KEQ1" s="530"/>
      <c r="KER1" s="529"/>
      <c r="KES1" s="529"/>
      <c r="KET1" s="529"/>
      <c r="KEU1" s="529"/>
      <c r="KEV1" s="529"/>
      <c r="KEW1" s="529"/>
      <c r="KEX1" s="529"/>
      <c r="KEY1" s="530"/>
      <c r="KEZ1" s="529"/>
      <c r="KFA1" s="529"/>
      <c r="KFB1" s="529"/>
      <c r="KFC1" s="529"/>
      <c r="KFD1" s="529"/>
      <c r="KFE1" s="529"/>
      <c r="KFF1" s="529"/>
      <c r="KFG1" s="530"/>
      <c r="KFH1" s="529"/>
      <c r="KFI1" s="529"/>
      <c r="KFJ1" s="529"/>
      <c r="KFK1" s="529"/>
      <c r="KFL1" s="529"/>
      <c r="KFM1" s="529"/>
      <c r="KFN1" s="529"/>
      <c r="KFO1" s="530"/>
      <c r="KFP1" s="529"/>
      <c r="KFQ1" s="529"/>
      <c r="KFR1" s="529"/>
      <c r="KFS1" s="529"/>
      <c r="KFT1" s="529"/>
      <c r="KFU1" s="529"/>
      <c r="KFV1" s="529"/>
      <c r="KFW1" s="530"/>
      <c r="KFX1" s="529"/>
      <c r="KFY1" s="529"/>
      <c r="KFZ1" s="529"/>
      <c r="KGA1" s="529"/>
      <c r="KGB1" s="529"/>
      <c r="KGC1" s="529"/>
      <c r="KGD1" s="529"/>
      <c r="KGE1" s="530"/>
      <c r="KGF1" s="529"/>
      <c r="KGG1" s="529"/>
      <c r="KGH1" s="529"/>
      <c r="KGI1" s="529"/>
      <c r="KGJ1" s="529"/>
      <c r="KGK1" s="529"/>
      <c r="KGL1" s="529"/>
      <c r="KGM1" s="530"/>
      <c r="KGN1" s="529"/>
      <c r="KGO1" s="529"/>
      <c r="KGP1" s="529"/>
      <c r="KGQ1" s="529"/>
      <c r="KGR1" s="529"/>
      <c r="KGS1" s="529"/>
      <c r="KGT1" s="529"/>
      <c r="KGU1" s="530"/>
      <c r="KGV1" s="529"/>
      <c r="KGW1" s="529"/>
      <c r="KGX1" s="529"/>
      <c r="KGY1" s="529"/>
      <c r="KGZ1" s="529"/>
      <c r="KHA1" s="529"/>
      <c r="KHB1" s="529"/>
      <c r="KHC1" s="530"/>
      <c r="KHD1" s="529"/>
      <c r="KHE1" s="529"/>
      <c r="KHF1" s="529"/>
      <c r="KHG1" s="529"/>
      <c r="KHH1" s="529"/>
      <c r="KHI1" s="529"/>
      <c r="KHJ1" s="529"/>
      <c r="KHK1" s="530"/>
      <c r="KHL1" s="529"/>
      <c r="KHM1" s="529"/>
      <c r="KHN1" s="529"/>
      <c r="KHO1" s="529"/>
      <c r="KHP1" s="529"/>
      <c r="KHQ1" s="529"/>
      <c r="KHR1" s="529"/>
      <c r="KHS1" s="530"/>
      <c r="KHT1" s="529"/>
      <c r="KHU1" s="529"/>
      <c r="KHV1" s="529"/>
      <c r="KHW1" s="529"/>
      <c r="KHX1" s="529"/>
      <c r="KHY1" s="529"/>
      <c r="KHZ1" s="529"/>
      <c r="KIA1" s="530"/>
      <c r="KIB1" s="529"/>
      <c r="KIC1" s="529"/>
      <c r="KID1" s="529"/>
      <c r="KIE1" s="529"/>
      <c r="KIF1" s="529"/>
      <c r="KIG1" s="529"/>
      <c r="KIH1" s="529"/>
      <c r="KII1" s="530"/>
      <c r="KIJ1" s="529"/>
      <c r="KIK1" s="529"/>
      <c r="KIL1" s="529"/>
      <c r="KIM1" s="529"/>
      <c r="KIN1" s="529"/>
      <c r="KIO1" s="529"/>
      <c r="KIP1" s="529"/>
      <c r="KIQ1" s="530"/>
      <c r="KIR1" s="529"/>
      <c r="KIS1" s="529"/>
      <c r="KIT1" s="529"/>
      <c r="KIU1" s="529"/>
      <c r="KIV1" s="529"/>
      <c r="KIW1" s="529"/>
      <c r="KIX1" s="529"/>
      <c r="KIY1" s="530"/>
      <c r="KIZ1" s="529"/>
      <c r="KJA1" s="529"/>
      <c r="KJB1" s="529"/>
      <c r="KJC1" s="529"/>
      <c r="KJD1" s="529"/>
      <c r="KJE1" s="529"/>
      <c r="KJF1" s="529"/>
      <c r="KJG1" s="530"/>
      <c r="KJH1" s="529"/>
      <c r="KJI1" s="529"/>
      <c r="KJJ1" s="529"/>
      <c r="KJK1" s="529"/>
      <c r="KJL1" s="529"/>
      <c r="KJM1" s="529"/>
      <c r="KJN1" s="529"/>
      <c r="KJO1" s="530"/>
      <c r="KJP1" s="529"/>
      <c r="KJQ1" s="529"/>
      <c r="KJR1" s="529"/>
      <c r="KJS1" s="529"/>
      <c r="KJT1" s="529"/>
      <c r="KJU1" s="529"/>
      <c r="KJV1" s="529"/>
      <c r="KJW1" s="530"/>
      <c r="KJX1" s="529"/>
      <c r="KJY1" s="529"/>
      <c r="KJZ1" s="529"/>
      <c r="KKA1" s="529"/>
      <c r="KKB1" s="529"/>
      <c r="KKC1" s="529"/>
      <c r="KKD1" s="529"/>
      <c r="KKE1" s="530"/>
      <c r="KKF1" s="529"/>
      <c r="KKG1" s="529"/>
      <c r="KKH1" s="529"/>
      <c r="KKI1" s="529"/>
      <c r="KKJ1" s="529"/>
      <c r="KKK1" s="529"/>
      <c r="KKL1" s="529"/>
      <c r="KKM1" s="530"/>
      <c r="KKN1" s="529"/>
      <c r="KKO1" s="529"/>
      <c r="KKP1" s="529"/>
      <c r="KKQ1" s="529"/>
      <c r="KKR1" s="529"/>
      <c r="KKS1" s="529"/>
      <c r="KKT1" s="529"/>
      <c r="KKU1" s="530"/>
      <c r="KKV1" s="529"/>
      <c r="KKW1" s="529"/>
      <c r="KKX1" s="529"/>
      <c r="KKY1" s="529"/>
      <c r="KKZ1" s="529"/>
      <c r="KLA1" s="529"/>
      <c r="KLB1" s="529"/>
      <c r="KLC1" s="530"/>
      <c r="KLD1" s="529"/>
      <c r="KLE1" s="529"/>
      <c r="KLF1" s="529"/>
      <c r="KLG1" s="529"/>
      <c r="KLH1" s="529"/>
      <c r="KLI1" s="529"/>
      <c r="KLJ1" s="529"/>
      <c r="KLK1" s="530"/>
      <c r="KLL1" s="529"/>
      <c r="KLM1" s="529"/>
      <c r="KLN1" s="529"/>
      <c r="KLO1" s="529"/>
      <c r="KLP1" s="529"/>
      <c r="KLQ1" s="529"/>
      <c r="KLR1" s="529"/>
      <c r="KLS1" s="530"/>
      <c r="KLT1" s="529"/>
      <c r="KLU1" s="529"/>
      <c r="KLV1" s="529"/>
      <c r="KLW1" s="529"/>
      <c r="KLX1" s="529"/>
      <c r="KLY1" s="529"/>
      <c r="KLZ1" s="529"/>
      <c r="KMA1" s="530"/>
      <c r="KMB1" s="529"/>
      <c r="KMC1" s="529"/>
      <c r="KMD1" s="529"/>
      <c r="KME1" s="529"/>
      <c r="KMF1" s="529"/>
      <c r="KMG1" s="529"/>
      <c r="KMH1" s="529"/>
      <c r="KMI1" s="530"/>
      <c r="KMJ1" s="529"/>
      <c r="KMK1" s="529"/>
      <c r="KML1" s="529"/>
      <c r="KMM1" s="529"/>
      <c r="KMN1" s="529"/>
      <c r="KMO1" s="529"/>
      <c r="KMP1" s="529"/>
      <c r="KMQ1" s="530"/>
      <c r="KMR1" s="529"/>
      <c r="KMS1" s="529"/>
      <c r="KMT1" s="529"/>
      <c r="KMU1" s="529"/>
      <c r="KMV1" s="529"/>
      <c r="KMW1" s="529"/>
      <c r="KMX1" s="529"/>
      <c r="KMY1" s="530"/>
      <c r="KMZ1" s="529"/>
      <c r="KNA1" s="529"/>
      <c r="KNB1" s="529"/>
      <c r="KNC1" s="529"/>
      <c r="KND1" s="529"/>
      <c r="KNE1" s="529"/>
      <c r="KNF1" s="529"/>
      <c r="KNG1" s="530"/>
      <c r="KNH1" s="529"/>
      <c r="KNI1" s="529"/>
      <c r="KNJ1" s="529"/>
      <c r="KNK1" s="529"/>
      <c r="KNL1" s="529"/>
      <c r="KNM1" s="529"/>
      <c r="KNN1" s="529"/>
      <c r="KNO1" s="530"/>
      <c r="KNP1" s="529"/>
      <c r="KNQ1" s="529"/>
      <c r="KNR1" s="529"/>
      <c r="KNS1" s="529"/>
      <c r="KNT1" s="529"/>
      <c r="KNU1" s="529"/>
      <c r="KNV1" s="529"/>
      <c r="KNW1" s="530"/>
      <c r="KNX1" s="529"/>
      <c r="KNY1" s="529"/>
      <c r="KNZ1" s="529"/>
      <c r="KOA1" s="529"/>
      <c r="KOB1" s="529"/>
      <c r="KOC1" s="529"/>
      <c r="KOD1" s="529"/>
      <c r="KOE1" s="530"/>
      <c r="KOF1" s="529"/>
      <c r="KOG1" s="529"/>
      <c r="KOH1" s="529"/>
      <c r="KOI1" s="529"/>
      <c r="KOJ1" s="529"/>
      <c r="KOK1" s="529"/>
      <c r="KOL1" s="529"/>
      <c r="KOM1" s="530"/>
      <c r="KON1" s="529"/>
      <c r="KOO1" s="529"/>
      <c r="KOP1" s="529"/>
      <c r="KOQ1" s="529"/>
      <c r="KOR1" s="529"/>
      <c r="KOS1" s="529"/>
      <c r="KOT1" s="529"/>
      <c r="KOU1" s="530"/>
      <c r="KOV1" s="529"/>
      <c r="KOW1" s="529"/>
      <c r="KOX1" s="529"/>
      <c r="KOY1" s="529"/>
      <c r="KOZ1" s="529"/>
      <c r="KPA1" s="529"/>
      <c r="KPB1" s="529"/>
      <c r="KPC1" s="530"/>
      <c r="KPD1" s="529"/>
      <c r="KPE1" s="529"/>
      <c r="KPF1" s="529"/>
      <c r="KPG1" s="529"/>
      <c r="KPH1" s="529"/>
      <c r="KPI1" s="529"/>
      <c r="KPJ1" s="529"/>
      <c r="KPK1" s="530"/>
      <c r="KPL1" s="529"/>
      <c r="KPM1" s="529"/>
      <c r="KPN1" s="529"/>
      <c r="KPO1" s="529"/>
      <c r="KPP1" s="529"/>
      <c r="KPQ1" s="529"/>
      <c r="KPR1" s="529"/>
      <c r="KPS1" s="530"/>
      <c r="KPT1" s="529"/>
      <c r="KPU1" s="529"/>
      <c r="KPV1" s="529"/>
      <c r="KPW1" s="529"/>
      <c r="KPX1" s="529"/>
      <c r="KPY1" s="529"/>
      <c r="KPZ1" s="529"/>
      <c r="KQA1" s="530"/>
      <c r="KQB1" s="529"/>
      <c r="KQC1" s="529"/>
      <c r="KQD1" s="529"/>
      <c r="KQE1" s="529"/>
      <c r="KQF1" s="529"/>
      <c r="KQG1" s="529"/>
      <c r="KQH1" s="529"/>
      <c r="KQI1" s="530"/>
      <c r="KQJ1" s="529"/>
      <c r="KQK1" s="529"/>
      <c r="KQL1" s="529"/>
      <c r="KQM1" s="529"/>
      <c r="KQN1" s="529"/>
      <c r="KQO1" s="529"/>
      <c r="KQP1" s="529"/>
      <c r="KQQ1" s="530"/>
      <c r="KQR1" s="529"/>
      <c r="KQS1" s="529"/>
      <c r="KQT1" s="529"/>
      <c r="KQU1" s="529"/>
      <c r="KQV1" s="529"/>
      <c r="KQW1" s="529"/>
      <c r="KQX1" s="529"/>
      <c r="KQY1" s="530"/>
      <c r="KQZ1" s="529"/>
      <c r="KRA1" s="529"/>
      <c r="KRB1" s="529"/>
      <c r="KRC1" s="529"/>
      <c r="KRD1" s="529"/>
      <c r="KRE1" s="529"/>
      <c r="KRF1" s="529"/>
      <c r="KRG1" s="530"/>
      <c r="KRH1" s="529"/>
      <c r="KRI1" s="529"/>
      <c r="KRJ1" s="529"/>
      <c r="KRK1" s="529"/>
      <c r="KRL1" s="529"/>
      <c r="KRM1" s="529"/>
      <c r="KRN1" s="529"/>
      <c r="KRO1" s="530"/>
      <c r="KRP1" s="529"/>
      <c r="KRQ1" s="529"/>
      <c r="KRR1" s="529"/>
      <c r="KRS1" s="529"/>
      <c r="KRT1" s="529"/>
      <c r="KRU1" s="529"/>
      <c r="KRV1" s="529"/>
      <c r="KRW1" s="530"/>
      <c r="KRX1" s="529"/>
      <c r="KRY1" s="529"/>
      <c r="KRZ1" s="529"/>
      <c r="KSA1" s="529"/>
      <c r="KSB1" s="529"/>
      <c r="KSC1" s="529"/>
      <c r="KSD1" s="529"/>
      <c r="KSE1" s="530"/>
      <c r="KSF1" s="529"/>
      <c r="KSG1" s="529"/>
      <c r="KSH1" s="529"/>
      <c r="KSI1" s="529"/>
      <c r="KSJ1" s="529"/>
      <c r="KSK1" s="529"/>
      <c r="KSL1" s="529"/>
      <c r="KSM1" s="530"/>
      <c r="KSN1" s="529"/>
      <c r="KSO1" s="529"/>
      <c r="KSP1" s="529"/>
      <c r="KSQ1" s="529"/>
      <c r="KSR1" s="529"/>
      <c r="KSS1" s="529"/>
      <c r="KST1" s="529"/>
      <c r="KSU1" s="530"/>
      <c r="KSV1" s="529"/>
      <c r="KSW1" s="529"/>
      <c r="KSX1" s="529"/>
      <c r="KSY1" s="529"/>
      <c r="KSZ1" s="529"/>
      <c r="KTA1" s="529"/>
      <c r="KTB1" s="529"/>
      <c r="KTC1" s="530"/>
      <c r="KTD1" s="529"/>
      <c r="KTE1" s="529"/>
      <c r="KTF1" s="529"/>
      <c r="KTG1" s="529"/>
      <c r="KTH1" s="529"/>
      <c r="KTI1" s="529"/>
      <c r="KTJ1" s="529"/>
      <c r="KTK1" s="530"/>
      <c r="KTL1" s="529"/>
      <c r="KTM1" s="529"/>
      <c r="KTN1" s="529"/>
      <c r="KTO1" s="529"/>
      <c r="KTP1" s="529"/>
      <c r="KTQ1" s="529"/>
      <c r="KTR1" s="529"/>
      <c r="KTS1" s="530"/>
      <c r="KTT1" s="529"/>
      <c r="KTU1" s="529"/>
      <c r="KTV1" s="529"/>
      <c r="KTW1" s="529"/>
      <c r="KTX1" s="529"/>
      <c r="KTY1" s="529"/>
      <c r="KTZ1" s="529"/>
      <c r="KUA1" s="530"/>
      <c r="KUB1" s="529"/>
      <c r="KUC1" s="529"/>
      <c r="KUD1" s="529"/>
      <c r="KUE1" s="529"/>
      <c r="KUF1" s="529"/>
      <c r="KUG1" s="529"/>
      <c r="KUH1" s="529"/>
      <c r="KUI1" s="530"/>
      <c r="KUJ1" s="529"/>
      <c r="KUK1" s="529"/>
      <c r="KUL1" s="529"/>
      <c r="KUM1" s="529"/>
      <c r="KUN1" s="529"/>
      <c r="KUO1" s="529"/>
      <c r="KUP1" s="529"/>
      <c r="KUQ1" s="530"/>
      <c r="KUR1" s="529"/>
      <c r="KUS1" s="529"/>
      <c r="KUT1" s="529"/>
      <c r="KUU1" s="529"/>
      <c r="KUV1" s="529"/>
      <c r="KUW1" s="529"/>
      <c r="KUX1" s="529"/>
      <c r="KUY1" s="530"/>
      <c r="KUZ1" s="529"/>
      <c r="KVA1" s="529"/>
      <c r="KVB1" s="529"/>
      <c r="KVC1" s="529"/>
      <c r="KVD1" s="529"/>
      <c r="KVE1" s="529"/>
      <c r="KVF1" s="529"/>
      <c r="KVG1" s="530"/>
      <c r="KVH1" s="529"/>
      <c r="KVI1" s="529"/>
      <c r="KVJ1" s="529"/>
      <c r="KVK1" s="529"/>
      <c r="KVL1" s="529"/>
      <c r="KVM1" s="529"/>
      <c r="KVN1" s="529"/>
      <c r="KVO1" s="530"/>
      <c r="KVP1" s="529"/>
      <c r="KVQ1" s="529"/>
      <c r="KVR1" s="529"/>
      <c r="KVS1" s="529"/>
      <c r="KVT1" s="529"/>
      <c r="KVU1" s="529"/>
      <c r="KVV1" s="529"/>
      <c r="KVW1" s="530"/>
      <c r="KVX1" s="529"/>
      <c r="KVY1" s="529"/>
      <c r="KVZ1" s="529"/>
      <c r="KWA1" s="529"/>
      <c r="KWB1" s="529"/>
      <c r="KWC1" s="529"/>
      <c r="KWD1" s="529"/>
      <c r="KWE1" s="530"/>
      <c r="KWF1" s="529"/>
      <c r="KWG1" s="529"/>
      <c r="KWH1" s="529"/>
      <c r="KWI1" s="529"/>
      <c r="KWJ1" s="529"/>
      <c r="KWK1" s="529"/>
      <c r="KWL1" s="529"/>
      <c r="KWM1" s="530"/>
      <c r="KWN1" s="529"/>
      <c r="KWO1" s="529"/>
      <c r="KWP1" s="529"/>
      <c r="KWQ1" s="529"/>
      <c r="KWR1" s="529"/>
      <c r="KWS1" s="529"/>
      <c r="KWT1" s="529"/>
      <c r="KWU1" s="530"/>
      <c r="KWV1" s="529"/>
      <c r="KWW1" s="529"/>
      <c r="KWX1" s="529"/>
      <c r="KWY1" s="529"/>
      <c r="KWZ1" s="529"/>
      <c r="KXA1" s="529"/>
      <c r="KXB1" s="529"/>
      <c r="KXC1" s="530"/>
      <c r="KXD1" s="529"/>
      <c r="KXE1" s="529"/>
      <c r="KXF1" s="529"/>
      <c r="KXG1" s="529"/>
      <c r="KXH1" s="529"/>
      <c r="KXI1" s="529"/>
      <c r="KXJ1" s="529"/>
      <c r="KXK1" s="530"/>
      <c r="KXL1" s="529"/>
      <c r="KXM1" s="529"/>
      <c r="KXN1" s="529"/>
      <c r="KXO1" s="529"/>
      <c r="KXP1" s="529"/>
      <c r="KXQ1" s="529"/>
      <c r="KXR1" s="529"/>
      <c r="KXS1" s="530"/>
      <c r="KXT1" s="529"/>
      <c r="KXU1" s="529"/>
      <c r="KXV1" s="529"/>
      <c r="KXW1" s="529"/>
      <c r="KXX1" s="529"/>
      <c r="KXY1" s="529"/>
      <c r="KXZ1" s="529"/>
      <c r="KYA1" s="530"/>
      <c r="KYB1" s="529"/>
      <c r="KYC1" s="529"/>
      <c r="KYD1" s="529"/>
      <c r="KYE1" s="529"/>
      <c r="KYF1" s="529"/>
      <c r="KYG1" s="529"/>
      <c r="KYH1" s="529"/>
      <c r="KYI1" s="530"/>
      <c r="KYJ1" s="529"/>
      <c r="KYK1" s="529"/>
      <c r="KYL1" s="529"/>
      <c r="KYM1" s="529"/>
      <c r="KYN1" s="529"/>
      <c r="KYO1" s="529"/>
      <c r="KYP1" s="529"/>
      <c r="KYQ1" s="530"/>
      <c r="KYR1" s="529"/>
      <c r="KYS1" s="529"/>
      <c r="KYT1" s="529"/>
      <c r="KYU1" s="529"/>
      <c r="KYV1" s="529"/>
      <c r="KYW1" s="529"/>
      <c r="KYX1" s="529"/>
      <c r="KYY1" s="530"/>
      <c r="KYZ1" s="529"/>
      <c r="KZA1" s="529"/>
      <c r="KZB1" s="529"/>
      <c r="KZC1" s="529"/>
      <c r="KZD1" s="529"/>
      <c r="KZE1" s="529"/>
      <c r="KZF1" s="529"/>
      <c r="KZG1" s="530"/>
      <c r="KZH1" s="529"/>
      <c r="KZI1" s="529"/>
      <c r="KZJ1" s="529"/>
      <c r="KZK1" s="529"/>
      <c r="KZL1" s="529"/>
      <c r="KZM1" s="529"/>
      <c r="KZN1" s="529"/>
      <c r="KZO1" s="530"/>
      <c r="KZP1" s="529"/>
      <c r="KZQ1" s="529"/>
      <c r="KZR1" s="529"/>
      <c r="KZS1" s="529"/>
      <c r="KZT1" s="529"/>
      <c r="KZU1" s="529"/>
      <c r="KZV1" s="529"/>
      <c r="KZW1" s="530"/>
      <c r="KZX1" s="529"/>
      <c r="KZY1" s="529"/>
      <c r="KZZ1" s="529"/>
      <c r="LAA1" s="529"/>
      <c r="LAB1" s="529"/>
      <c r="LAC1" s="529"/>
      <c r="LAD1" s="529"/>
      <c r="LAE1" s="530"/>
      <c r="LAF1" s="529"/>
      <c r="LAG1" s="529"/>
      <c r="LAH1" s="529"/>
      <c r="LAI1" s="529"/>
      <c r="LAJ1" s="529"/>
      <c r="LAK1" s="529"/>
      <c r="LAL1" s="529"/>
      <c r="LAM1" s="530"/>
      <c r="LAN1" s="529"/>
      <c r="LAO1" s="529"/>
      <c r="LAP1" s="529"/>
      <c r="LAQ1" s="529"/>
      <c r="LAR1" s="529"/>
      <c r="LAS1" s="529"/>
      <c r="LAT1" s="529"/>
      <c r="LAU1" s="530"/>
      <c r="LAV1" s="529"/>
      <c r="LAW1" s="529"/>
      <c r="LAX1" s="529"/>
      <c r="LAY1" s="529"/>
      <c r="LAZ1" s="529"/>
      <c r="LBA1" s="529"/>
      <c r="LBB1" s="529"/>
      <c r="LBC1" s="530"/>
      <c r="LBD1" s="529"/>
      <c r="LBE1" s="529"/>
      <c r="LBF1" s="529"/>
      <c r="LBG1" s="529"/>
      <c r="LBH1" s="529"/>
      <c r="LBI1" s="529"/>
      <c r="LBJ1" s="529"/>
      <c r="LBK1" s="530"/>
      <c r="LBL1" s="529"/>
      <c r="LBM1" s="529"/>
      <c r="LBN1" s="529"/>
      <c r="LBO1" s="529"/>
      <c r="LBP1" s="529"/>
      <c r="LBQ1" s="529"/>
      <c r="LBR1" s="529"/>
      <c r="LBS1" s="530"/>
      <c r="LBT1" s="529"/>
      <c r="LBU1" s="529"/>
      <c r="LBV1" s="529"/>
      <c r="LBW1" s="529"/>
      <c r="LBX1" s="529"/>
      <c r="LBY1" s="529"/>
      <c r="LBZ1" s="529"/>
      <c r="LCA1" s="530"/>
      <c r="LCB1" s="529"/>
      <c r="LCC1" s="529"/>
      <c r="LCD1" s="529"/>
      <c r="LCE1" s="529"/>
      <c r="LCF1" s="529"/>
      <c r="LCG1" s="529"/>
      <c r="LCH1" s="529"/>
      <c r="LCI1" s="530"/>
      <c r="LCJ1" s="529"/>
      <c r="LCK1" s="529"/>
      <c r="LCL1" s="529"/>
      <c r="LCM1" s="529"/>
      <c r="LCN1" s="529"/>
      <c r="LCO1" s="529"/>
      <c r="LCP1" s="529"/>
      <c r="LCQ1" s="530"/>
      <c r="LCR1" s="529"/>
      <c r="LCS1" s="529"/>
      <c r="LCT1" s="529"/>
      <c r="LCU1" s="529"/>
      <c r="LCV1" s="529"/>
      <c r="LCW1" s="529"/>
      <c r="LCX1" s="529"/>
      <c r="LCY1" s="530"/>
      <c r="LCZ1" s="529"/>
      <c r="LDA1" s="529"/>
      <c r="LDB1" s="529"/>
      <c r="LDC1" s="529"/>
      <c r="LDD1" s="529"/>
      <c r="LDE1" s="529"/>
      <c r="LDF1" s="529"/>
      <c r="LDG1" s="530"/>
      <c r="LDH1" s="529"/>
      <c r="LDI1" s="529"/>
      <c r="LDJ1" s="529"/>
      <c r="LDK1" s="529"/>
      <c r="LDL1" s="529"/>
      <c r="LDM1" s="529"/>
      <c r="LDN1" s="529"/>
      <c r="LDO1" s="530"/>
      <c r="LDP1" s="529"/>
      <c r="LDQ1" s="529"/>
      <c r="LDR1" s="529"/>
      <c r="LDS1" s="529"/>
      <c r="LDT1" s="529"/>
      <c r="LDU1" s="529"/>
      <c r="LDV1" s="529"/>
      <c r="LDW1" s="530"/>
      <c r="LDX1" s="529"/>
      <c r="LDY1" s="529"/>
      <c r="LDZ1" s="529"/>
      <c r="LEA1" s="529"/>
      <c r="LEB1" s="529"/>
      <c r="LEC1" s="529"/>
      <c r="LED1" s="529"/>
      <c r="LEE1" s="530"/>
      <c r="LEF1" s="529"/>
      <c r="LEG1" s="529"/>
      <c r="LEH1" s="529"/>
      <c r="LEI1" s="529"/>
      <c r="LEJ1" s="529"/>
      <c r="LEK1" s="529"/>
      <c r="LEL1" s="529"/>
      <c r="LEM1" s="530"/>
      <c r="LEN1" s="529"/>
      <c r="LEO1" s="529"/>
      <c r="LEP1" s="529"/>
      <c r="LEQ1" s="529"/>
      <c r="LER1" s="529"/>
      <c r="LES1" s="529"/>
      <c r="LET1" s="529"/>
      <c r="LEU1" s="530"/>
      <c r="LEV1" s="529"/>
      <c r="LEW1" s="529"/>
      <c r="LEX1" s="529"/>
      <c r="LEY1" s="529"/>
      <c r="LEZ1" s="529"/>
      <c r="LFA1" s="529"/>
      <c r="LFB1" s="529"/>
      <c r="LFC1" s="530"/>
      <c r="LFD1" s="529"/>
      <c r="LFE1" s="529"/>
      <c r="LFF1" s="529"/>
      <c r="LFG1" s="529"/>
      <c r="LFH1" s="529"/>
      <c r="LFI1" s="529"/>
      <c r="LFJ1" s="529"/>
      <c r="LFK1" s="530"/>
      <c r="LFL1" s="529"/>
      <c r="LFM1" s="529"/>
      <c r="LFN1" s="529"/>
      <c r="LFO1" s="529"/>
      <c r="LFP1" s="529"/>
      <c r="LFQ1" s="529"/>
      <c r="LFR1" s="529"/>
      <c r="LFS1" s="530"/>
      <c r="LFT1" s="529"/>
      <c r="LFU1" s="529"/>
      <c r="LFV1" s="529"/>
      <c r="LFW1" s="529"/>
      <c r="LFX1" s="529"/>
      <c r="LFY1" s="529"/>
      <c r="LFZ1" s="529"/>
      <c r="LGA1" s="530"/>
      <c r="LGB1" s="529"/>
      <c r="LGC1" s="529"/>
      <c r="LGD1" s="529"/>
      <c r="LGE1" s="529"/>
      <c r="LGF1" s="529"/>
      <c r="LGG1" s="529"/>
      <c r="LGH1" s="529"/>
      <c r="LGI1" s="530"/>
      <c r="LGJ1" s="529"/>
      <c r="LGK1" s="529"/>
      <c r="LGL1" s="529"/>
      <c r="LGM1" s="529"/>
      <c r="LGN1" s="529"/>
      <c r="LGO1" s="529"/>
      <c r="LGP1" s="529"/>
      <c r="LGQ1" s="530"/>
      <c r="LGR1" s="529"/>
      <c r="LGS1" s="529"/>
      <c r="LGT1" s="529"/>
      <c r="LGU1" s="529"/>
      <c r="LGV1" s="529"/>
      <c r="LGW1" s="529"/>
      <c r="LGX1" s="529"/>
      <c r="LGY1" s="530"/>
      <c r="LGZ1" s="529"/>
      <c r="LHA1" s="529"/>
      <c r="LHB1" s="529"/>
      <c r="LHC1" s="529"/>
      <c r="LHD1" s="529"/>
      <c r="LHE1" s="529"/>
      <c r="LHF1" s="529"/>
      <c r="LHG1" s="530"/>
      <c r="LHH1" s="529"/>
      <c r="LHI1" s="529"/>
      <c r="LHJ1" s="529"/>
      <c r="LHK1" s="529"/>
      <c r="LHL1" s="529"/>
      <c r="LHM1" s="529"/>
      <c r="LHN1" s="529"/>
      <c r="LHO1" s="530"/>
      <c r="LHP1" s="529"/>
      <c r="LHQ1" s="529"/>
      <c r="LHR1" s="529"/>
      <c r="LHS1" s="529"/>
      <c r="LHT1" s="529"/>
      <c r="LHU1" s="529"/>
      <c r="LHV1" s="529"/>
      <c r="LHW1" s="530"/>
      <c r="LHX1" s="529"/>
      <c r="LHY1" s="529"/>
      <c r="LHZ1" s="529"/>
      <c r="LIA1" s="529"/>
      <c r="LIB1" s="529"/>
      <c r="LIC1" s="529"/>
      <c r="LID1" s="529"/>
      <c r="LIE1" s="530"/>
      <c r="LIF1" s="529"/>
      <c r="LIG1" s="529"/>
      <c r="LIH1" s="529"/>
      <c r="LII1" s="529"/>
      <c r="LIJ1" s="529"/>
      <c r="LIK1" s="529"/>
      <c r="LIL1" s="529"/>
      <c r="LIM1" s="530"/>
      <c r="LIN1" s="529"/>
      <c r="LIO1" s="529"/>
      <c r="LIP1" s="529"/>
      <c r="LIQ1" s="529"/>
      <c r="LIR1" s="529"/>
      <c r="LIS1" s="529"/>
      <c r="LIT1" s="529"/>
      <c r="LIU1" s="530"/>
      <c r="LIV1" s="529"/>
      <c r="LIW1" s="529"/>
      <c r="LIX1" s="529"/>
      <c r="LIY1" s="529"/>
      <c r="LIZ1" s="529"/>
      <c r="LJA1" s="529"/>
      <c r="LJB1" s="529"/>
      <c r="LJC1" s="530"/>
      <c r="LJD1" s="529"/>
      <c r="LJE1" s="529"/>
      <c r="LJF1" s="529"/>
      <c r="LJG1" s="529"/>
      <c r="LJH1" s="529"/>
      <c r="LJI1" s="529"/>
      <c r="LJJ1" s="529"/>
      <c r="LJK1" s="530"/>
      <c r="LJL1" s="529"/>
      <c r="LJM1" s="529"/>
      <c r="LJN1" s="529"/>
      <c r="LJO1" s="529"/>
      <c r="LJP1" s="529"/>
      <c r="LJQ1" s="529"/>
      <c r="LJR1" s="529"/>
      <c r="LJS1" s="530"/>
      <c r="LJT1" s="529"/>
      <c r="LJU1" s="529"/>
      <c r="LJV1" s="529"/>
      <c r="LJW1" s="529"/>
      <c r="LJX1" s="529"/>
      <c r="LJY1" s="529"/>
      <c r="LJZ1" s="529"/>
      <c r="LKA1" s="530"/>
      <c r="LKB1" s="529"/>
      <c r="LKC1" s="529"/>
      <c r="LKD1" s="529"/>
      <c r="LKE1" s="529"/>
      <c r="LKF1" s="529"/>
      <c r="LKG1" s="529"/>
      <c r="LKH1" s="529"/>
      <c r="LKI1" s="530"/>
      <c r="LKJ1" s="529"/>
      <c r="LKK1" s="529"/>
      <c r="LKL1" s="529"/>
      <c r="LKM1" s="529"/>
      <c r="LKN1" s="529"/>
      <c r="LKO1" s="529"/>
      <c r="LKP1" s="529"/>
      <c r="LKQ1" s="530"/>
      <c r="LKR1" s="529"/>
      <c r="LKS1" s="529"/>
      <c r="LKT1" s="529"/>
      <c r="LKU1" s="529"/>
      <c r="LKV1" s="529"/>
      <c r="LKW1" s="529"/>
      <c r="LKX1" s="529"/>
      <c r="LKY1" s="530"/>
      <c r="LKZ1" s="529"/>
      <c r="LLA1" s="529"/>
      <c r="LLB1" s="529"/>
      <c r="LLC1" s="529"/>
      <c r="LLD1" s="529"/>
      <c r="LLE1" s="529"/>
      <c r="LLF1" s="529"/>
      <c r="LLG1" s="530"/>
      <c r="LLH1" s="529"/>
      <c r="LLI1" s="529"/>
      <c r="LLJ1" s="529"/>
      <c r="LLK1" s="529"/>
      <c r="LLL1" s="529"/>
      <c r="LLM1" s="529"/>
      <c r="LLN1" s="529"/>
      <c r="LLO1" s="530"/>
      <c r="LLP1" s="529"/>
      <c r="LLQ1" s="529"/>
      <c r="LLR1" s="529"/>
      <c r="LLS1" s="529"/>
      <c r="LLT1" s="529"/>
      <c r="LLU1" s="529"/>
      <c r="LLV1" s="529"/>
      <c r="LLW1" s="530"/>
      <c r="LLX1" s="529"/>
      <c r="LLY1" s="529"/>
      <c r="LLZ1" s="529"/>
      <c r="LMA1" s="529"/>
      <c r="LMB1" s="529"/>
      <c r="LMC1" s="529"/>
      <c r="LMD1" s="529"/>
      <c r="LME1" s="530"/>
      <c r="LMF1" s="529"/>
      <c r="LMG1" s="529"/>
      <c r="LMH1" s="529"/>
      <c r="LMI1" s="529"/>
      <c r="LMJ1" s="529"/>
      <c r="LMK1" s="529"/>
      <c r="LML1" s="529"/>
      <c r="LMM1" s="530"/>
      <c r="LMN1" s="529"/>
      <c r="LMO1" s="529"/>
      <c r="LMP1" s="529"/>
      <c r="LMQ1" s="529"/>
      <c r="LMR1" s="529"/>
      <c r="LMS1" s="529"/>
      <c r="LMT1" s="529"/>
      <c r="LMU1" s="530"/>
      <c r="LMV1" s="529"/>
      <c r="LMW1" s="529"/>
      <c r="LMX1" s="529"/>
      <c r="LMY1" s="529"/>
      <c r="LMZ1" s="529"/>
      <c r="LNA1" s="529"/>
      <c r="LNB1" s="529"/>
      <c r="LNC1" s="530"/>
      <c r="LND1" s="529"/>
      <c r="LNE1" s="529"/>
      <c r="LNF1" s="529"/>
      <c r="LNG1" s="529"/>
      <c r="LNH1" s="529"/>
      <c r="LNI1" s="529"/>
      <c r="LNJ1" s="529"/>
      <c r="LNK1" s="530"/>
      <c r="LNL1" s="529"/>
      <c r="LNM1" s="529"/>
      <c r="LNN1" s="529"/>
      <c r="LNO1" s="529"/>
      <c r="LNP1" s="529"/>
      <c r="LNQ1" s="529"/>
      <c r="LNR1" s="529"/>
      <c r="LNS1" s="530"/>
      <c r="LNT1" s="529"/>
      <c r="LNU1" s="529"/>
      <c r="LNV1" s="529"/>
      <c r="LNW1" s="529"/>
      <c r="LNX1" s="529"/>
      <c r="LNY1" s="529"/>
      <c r="LNZ1" s="529"/>
      <c r="LOA1" s="530"/>
      <c r="LOB1" s="529"/>
      <c r="LOC1" s="529"/>
      <c r="LOD1" s="529"/>
      <c r="LOE1" s="529"/>
      <c r="LOF1" s="529"/>
      <c r="LOG1" s="529"/>
      <c r="LOH1" s="529"/>
      <c r="LOI1" s="530"/>
      <c r="LOJ1" s="529"/>
      <c r="LOK1" s="529"/>
      <c r="LOL1" s="529"/>
      <c r="LOM1" s="529"/>
      <c r="LON1" s="529"/>
      <c r="LOO1" s="529"/>
      <c r="LOP1" s="529"/>
      <c r="LOQ1" s="530"/>
      <c r="LOR1" s="529"/>
      <c r="LOS1" s="529"/>
      <c r="LOT1" s="529"/>
      <c r="LOU1" s="529"/>
      <c r="LOV1" s="529"/>
      <c r="LOW1" s="529"/>
      <c r="LOX1" s="529"/>
      <c r="LOY1" s="530"/>
      <c r="LOZ1" s="529"/>
      <c r="LPA1" s="529"/>
      <c r="LPB1" s="529"/>
      <c r="LPC1" s="529"/>
      <c r="LPD1" s="529"/>
      <c r="LPE1" s="529"/>
      <c r="LPF1" s="529"/>
      <c r="LPG1" s="530"/>
      <c r="LPH1" s="529"/>
      <c r="LPI1" s="529"/>
      <c r="LPJ1" s="529"/>
      <c r="LPK1" s="529"/>
      <c r="LPL1" s="529"/>
      <c r="LPM1" s="529"/>
      <c r="LPN1" s="529"/>
      <c r="LPO1" s="530"/>
      <c r="LPP1" s="529"/>
      <c r="LPQ1" s="529"/>
      <c r="LPR1" s="529"/>
      <c r="LPS1" s="529"/>
      <c r="LPT1" s="529"/>
      <c r="LPU1" s="529"/>
      <c r="LPV1" s="529"/>
      <c r="LPW1" s="530"/>
      <c r="LPX1" s="529"/>
      <c r="LPY1" s="529"/>
      <c r="LPZ1" s="529"/>
      <c r="LQA1" s="529"/>
      <c r="LQB1" s="529"/>
      <c r="LQC1" s="529"/>
      <c r="LQD1" s="529"/>
      <c r="LQE1" s="530"/>
      <c r="LQF1" s="529"/>
      <c r="LQG1" s="529"/>
      <c r="LQH1" s="529"/>
      <c r="LQI1" s="529"/>
      <c r="LQJ1" s="529"/>
      <c r="LQK1" s="529"/>
      <c r="LQL1" s="529"/>
      <c r="LQM1" s="530"/>
      <c r="LQN1" s="529"/>
      <c r="LQO1" s="529"/>
      <c r="LQP1" s="529"/>
      <c r="LQQ1" s="529"/>
      <c r="LQR1" s="529"/>
      <c r="LQS1" s="529"/>
      <c r="LQT1" s="529"/>
      <c r="LQU1" s="530"/>
      <c r="LQV1" s="529"/>
      <c r="LQW1" s="529"/>
      <c r="LQX1" s="529"/>
      <c r="LQY1" s="529"/>
      <c r="LQZ1" s="529"/>
      <c r="LRA1" s="529"/>
      <c r="LRB1" s="529"/>
      <c r="LRC1" s="530"/>
      <c r="LRD1" s="529"/>
      <c r="LRE1" s="529"/>
      <c r="LRF1" s="529"/>
      <c r="LRG1" s="529"/>
      <c r="LRH1" s="529"/>
      <c r="LRI1" s="529"/>
      <c r="LRJ1" s="529"/>
      <c r="LRK1" s="530"/>
      <c r="LRL1" s="529"/>
      <c r="LRM1" s="529"/>
      <c r="LRN1" s="529"/>
      <c r="LRO1" s="529"/>
      <c r="LRP1" s="529"/>
      <c r="LRQ1" s="529"/>
      <c r="LRR1" s="529"/>
      <c r="LRS1" s="530"/>
      <c r="LRT1" s="529"/>
      <c r="LRU1" s="529"/>
      <c r="LRV1" s="529"/>
      <c r="LRW1" s="529"/>
      <c r="LRX1" s="529"/>
      <c r="LRY1" s="529"/>
      <c r="LRZ1" s="529"/>
      <c r="LSA1" s="530"/>
      <c r="LSB1" s="529"/>
      <c r="LSC1" s="529"/>
      <c r="LSD1" s="529"/>
      <c r="LSE1" s="529"/>
      <c r="LSF1" s="529"/>
      <c r="LSG1" s="529"/>
      <c r="LSH1" s="529"/>
      <c r="LSI1" s="530"/>
      <c r="LSJ1" s="529"/>
      <c r="LSK1" s="529"/>
      <c r="LSL1" s="529"/>
      <c r="LSM1" s="529"/>
      <c r="LSN1" s="529"/>
      <c r="LSO1" s="529"/>
      <c r="LSP1" s="529"/>
      <c r="LSQ1" s="530"/>
      <c r="LSR1" s="529"/>
      <c r="LSS1" s="529"/>
      <c r="LST1" s="529"/>
      <c r="LSU1" s="529"/>
      <c r="LSV1" s="529"/>
      <c r="LSW1" s="529"/>
      <c r="LSX1" s="529"/>
      <c r="LSY1" s="530"/>
      <c r="LSZ1" s="529"/>
      <c r="LTA1" s="529"/>
      <c r="LTB1" s="529"/>
      <c r="LTC1" s="529"/>
      <c r="LTD1" s="529"/>
      <c r="LTE1" s="529"/>
      <c r="LTF1" s="529"/>
      <c r="LTG1" s="530"/>
      <c r="LTH1" s="529"/>
      <c r="LTI1" s="529"/>
      <c r="LTJ1" s="529"/>
      <c r="LTK1" s="529"/>
      <c r="LTL1" s="529"/>
      <c r="LTM1" s="529"/>
      <c r="LTN1" s="529"/>
      <c r="LTO1" s="530"/>
      <c r="LTP1" s="529"/>
      <c r="LTQ1" s="529"/>
      <c r="LTR1" s="529"/>
      <c r="LTS1" s="529"/>
      <c r="LTT1" s="529"/>
      <c r="LTU1" s="529"/>
      <c r="LTV1" s="529"/>
      <c r="LTW1" s="530"/>
      <c r="LTX1" s="529"/>
      <c r="LTY1" s="529"/>
      <c r="LTZ1" s="529"/>
      <c r="LUA1" s="529"/>
      <c r="LUB1" s="529"/>
      <c r="LUC1" s="529"/>
      <c r="LUD1" s="529"/>
      <c r="LUE1" s="530"/>
      <c r="LUF1" s="529"/>
      <c r="LUG1" s="529"/>
      <c r="LUH1" s="529"/>
      <c r="LUI1" s="529"/>
      <c r="LUJ1" s="529"/>
      <c r="LUK1" s="529"/>
      <c r="LUL1" s="529"/>
      <c r="LUM1" s="530"/>
      <c r="LUN1" s="529"/>
      <c r="LUO1" s="529"/>
      <c r="LUP1" s="529"/>
      <c r="LUQ1" s="529"/>
      <c r="LUR1" s="529"/>
      <c r="LUS1" s="529"/>
      <c r="LUT1" s="529"/>
      <c r="LUU1" s="530"/>
      <c r="LUV1" s="529"/>
      <c r="LUW1" s="529"/>
      <c r="LUX1" s="529"/>
      <c r="LUY1" s="529"/>
      <c r="LUZ1" s="529"/>
      <c r="LVA1" s="529"/>
      <c r="LVB1" s="529"/>
      <c r="LVC1" s="530"/>
      <c r="LVD1" s="529"/>
      <c r="LVE1" s="529"/>
      <c r="LVF1" s="529"/>
      <c r="LVG1" s="529"/>
      <c r="LVH1" s="529"/>
      <c r="LVI1" s="529"/>
      <c r="LVJ1" s="529"/>
      <c r="LVK1" s="530"/>
      <c r="LVL1" s="529"/>
      <c r="LVM1" s="529"/>
      <c r="LVN1" s="529"/>
      <c r="LVO1" s="529"/>
      <c r="LVP1" s="529"/>
      <c r="LVQ1" s="529"/>
      <c r="LVR1" s="529"/>
      <c r="LVS1" s="530"/>
      <c r="LVT1" s="529"/>
      <c r="LVU1" s="529"/>
      <c r="LVV1" s="529"/>
      <c r="LVW1" s="529"/>
      <c r="LVX1" s="529"/>
      <c r="LVY1" s="529"/>
      <c r="LVZ1" s="529"/>
      <c r="LWA1" s="530"/>
      <c r="LWB1" s="529"/>
      <c r="LWC1" s="529"/>
      <c r="LWD1" s="529"/>
      <c r="LWE1" s="529"/>
      <c r="LWF1" s="529"/>
      <c r="LWG1" s="529"/>
      <c r="LWH1" s="529"/>
      <c r="LWI1" s="530"/>
      <c r="LWJ1" s="529"/>
      <c r="LWK1" s="529"/>
      <c r="LWL1" s="529"/>
      <c r="LWM1" s="529"/>
      <c r="LWN1" s="529"/>
      <c r="LWO1" s="529"/>
      <c r="LWP1" s="529"/>
      <c r="LWQ1" s="530"/>
      <c r="LWR1" s="529"/>
      <c r="LWS1" s="529"/>
      <c r="LWT1" s="529"/>
      <c r="LWU1" s="529"/>
      <c r="LWV1" s="529"/>
      <c r="LWW1" s="529"/>
      <c r="LWX1" s="529"/>
      <c r="LWY1" s="530"/>
      <c r="LWZ1" s="529"/>
      <c r="LXA1" s="529"/>
      <c r="LXB1" s="529"/>
      <c r="LXC1" s="529"/>
      <c r="LXD1" s="529"/>
      <c r="LXE1" s="529"/>
      <c r="LXF1" s="529"/>
      <c r="LXG1" s="530"/>
      <c r="LXH1" s="529"/>
      <c r="LXI1" s="529"/>
      <c r="LXJ1" s="529"/>
      <c r="LXK1" s="529"/>
      <c r="LXL1" s="529"/>
      <c r="LXM1" s="529"/>
      <c r="LXN1" s="529"/>
      <c r="LXO1" s="530"/>
      <c r="LXP1" s="529"/>
      <c r="LXQ1" s="529"/>
      <c r="LXR1" s="529"/>
      <c r="LXS1" s="529"/>
      <c r="LXT1" s="529"/>
      <c r="LXU1" s="529"/>
      <c r="LXV1" s="529"/>
      <c r="LXW1" s="530"/>
      <c r="LXX1" s="529"/>
      <c r="LXY1" s="529"/>
      <c r="LXZ1" s="529"/>
      <c r="LYA1" s="529"/>
      <c r="LYB1" s="529"/>
      <c r="LYC1" s="529"/>
      <c r="LYD1" s="529"/>
      <c r="LYE1" s="530"/>
      <c r="LYF1" s="529"/>
      <c r="LYG1" s="529"/>
      <c r="LYH1" s="529"/>
      <c r="LYI1" s="529"/>
      <c r="LYJ1" s="529"/>
      <c r="LYK1" s="529"/>
      <c r="LYL1" s="529"/>
      <c r="LYM1" s="530"/>
      <c r="LYN1" s="529"/>
      <c r="LYO1" s="529"/>
      <c r="LYP1" s="529"/>
      <c r="LYQ1" s="529"/>
      <c r="LYR1" s="529"/>
      <c r="LYS1" s="529"/>
      <c r="LYT1" s="529"/>
      <c r="LYU1" s="530"/>
      <c r="LYV1" s="529"/>
      <c r="LYW1" s="529"/>
      <c r="LYX1" s="529"/>
      <c r="LYY1" s="529"/>
      <c r="LYZ1" s="529"/>
      <c r="LZA1" s="529"/>
      <c r="LZB1" s="529"/>
      <c r="LZC1" s="530"/>
      <c r="LZD1" s="529"/>
      <c r="LZE1" s="529"/>
      <c r="LZF1" s="529"/>
      <c r="LZG1" s="529"/>
      <c r="LZH1" s="529"/>
      <c r="LZI1" s="529"/>
      <c r="LZJ1" s="529"/>
      <c r="LZK1" s="530"/>
      <c r="LZL1" s="529"/>
      <c r="LZM1" s="529"/>
      <c r="LZN1" s="529"/>
      <c r="LZO1" s="529"/>
      <c r="LZP1" s="529"/>
      <c r="LZQ1" s="529"/>
      <c r="LZR1" s="529"/>
      <c r="LZS1" s="530"/>
      <c r="LZT1" s="529"/>
      <c r="LZU1" s="529"/>
      <c r="LZV1" s="529"/>
      <c r="LZW1" s="529"/>
      <c r="LZX1" s="529"/>
      <c r="LZY1" s="529"/>
      <c r="LZZ1" s="529"/>
      <c r="MAA1" s="530"/>
      <c r="MAB1" s="529"/>
      <c r="MAC1" s="529"/>
      <c r="MAD1" s="529"/>
      <c r="MAE1" s="529"/>
      <c r="MAF1" s="529"/>
      <c r="MAG1" s="529"/>
      <c r="MAH1" s="529"/>
      <c r="MAI1" s="530"/>
      <c r="MAJ1" s="529"/>
      <c r="MAK1" s="529"/>
      <c r="MAL1" s="529"/>
      <c r="MAM1" s="529"/>
      <c r="MAN1" s="529"/>
      <c r="MAO1" s="529"/>
      <c r="MAP1" s="529"/>
      <c r="MAQ1" s="530"/>
      <c r="MAR1" s="529"/>
      <c r="MAS1" s="529"/>
      <c r="MAT1" s="529"/>
      <c r="MAU1" s="529"/>
      <c r="MAV1" s="529"/>
      <c r="MAW1" s="529"/>
      <c r="MAX1" s="529"/>
      <c r="MAY1" s="530"/>
      <c r="MAZ1" s="529"/>
      <c r="MBA1" s="529"/>
      <c r="MBB1" s="529"/>
      <c r="MBC1" s="529"/>
      <c r="MBD1" s="529"/>
      <c r="MBE1" s="529"/>
      <c r="MBF1" s="529"/>
      <c r="MBG1" s="530"/>
      <c r="MBH1" s="529"/>
      <c r="MBI1" s="529"/>
      <c r="MBJ1" s="529"/>
      <c r="MBK1" s="529"/>
      <c r="MBL1" s="529"/>
      <c r="MBM1" s="529"/>
      <c r="MBN1" s="529"/>
      <c r="MBO1" s="530"/>
      <c r="MBP1" s="529"/>
      <c r="MBQ1" s="529"/>
      <c r="MBR1" s="529"/>
      <c r="MBS1" s="529"/>
      <c r="MBT1" s="529"/>
      <c r="MBU1" s="529"/>
      <c r="MBV1" s="529"/>
      <c r="MBW1" s="530"/>
      <c r="MBX1" s="529"/>
      <c r="MBY1" s="529"/>
      <c r="MBZ1" s="529"/>
      <c r="MCA1" s="529"/>
      <c r="MCB1" s="529"/>
      <c r="MCC1" s="529"/>
      <c r="MCD1" s="529"/>
      <c r="MCE1" s="530"/>
      <c r="MCF1" s="529"/>
      <c r="MCG1" s="529"/>
      <c r="MCH1" s="529"/>
      <c r="MCI1" s="529"/>
      <c r="MCJ1" s="529"/>
      <c r="MCK1" s="529"/>
      <c r="MCL1" s="529"/>
      <c r="MCM1" s="530"/>
      <c r="MCN1" s="529"/>
      <c r="MCO1" s="529"/>
      <c r="MCP1" s="529"/>
      <c r="MCQ1" s="529"/>
      <c r="MCR1" s="529"/>
      <c r="MCS1" s="529"/>
      <c r="MCT1" s="529"/>
      <c r="MCU1" s="530"/>
      <c r="MCV1" s="529"/>
      <c r="MCW1" s="529"/>
      <c r="MCX1" s="529"/>
      <c r="MCY1" s="529"/>
      <c r="MCZ1" s="529"/>
      <c r="MDA1" s="529"/>
      <c r="MDB1" s="529"/>
      <c r="MDC1" s="530"/>
      <c r="MDD1" s="529"/>
      <c r="MDE1" s="529"/>
      <c r="MDF1" s="529"/>
      <c r="MDG1" s="529"/>
      <c r="MDH1" s="529"/>
      <c r="MDI1" s="529"/>
      <c r="MDJ1" s="529"/>
      <c r="MDK1" s="530"/>
      <c r="MDL1" s="529"/>
      <c r="MDM1" s="529"/>
      <c r="MDN1" s="529"/>
      <c r="MDO1" s="529"/>
      <c r="MDP1" s="529"/>
      <c r="MDQ1" s="529"/>
      <c r="MDR1" s="529"/>
      <c r="MDS1" s="530"/>
      <c r="MDT1" s="529"/>
      <c r="MDU1" s="529"/>
      <c r="MDV1" s="529"/>
      <c r="MDW1" s="529"/>
      <c r="MDX1" s="529"/>
      <c r="MDY1" s="529"/>
      <c r="MDZ1" s="529"/>
      <c r="MEA1" s="530"/>
      <c r="MEB1" s="529"/>
      <c r="MEC1" s="529"/>
      <c r="MED1" s="529"/>
      <c r="MEE1" s="529"/>
      <c r="MEF1" s="529"/>
      <c r="MEG1" s="529"/>
      <c r="MEH1" s="529"/>
      <c r="MEI1" s="530"/>
      <c r="MEJ1" s="529"/>
      <c r="MEK1" s="529"/>
      <c r="MEL1" s="529"/>
      <c r="MEM1" s="529"/>
      <c r="MEN1" s="529"/>
      <c r="MEO1" s="529"/>
      <c r="MEP1" s="529"/>
      <c r="MEQ1" s="530"/>
      <c r="MER1" s="529"/>
      <c r="MES1" s="529"/>
      <c r="MET1" s="529"/>
      <c r="MEU1" s="529"/>
      <c r="MEV1" s="529"/>
      <c r="MEW1" s="529"/>
      <c r="MEX1" s="529"/>
      <c r="MEY1" s="530"/>
      <c r="MEZ1" s="529"/>
      <c r="MFA1" s="529"/>
      <c r="MFB1" s="529"/>
      <c r="MFC1" s="529"/>
      <c r="MFD1" s="529"/>
      <c r="MFE1" s="529"/>
      <c r="MFF1" s="529"/>
      <c r="MFG1" s="530"/>
      <c r="MFH1" s="529"/>
      <c r="MFI1" s="529"/>
      <c r="MFJ1" s="529"/>
      <c r="MFK1" s="529"/>
      <c r="MFL1" s="529"/>
      <c r="MFM1" s="529"/>
      <c r="MFN1" s="529"/>
      <c r="MFO1" s="530"/>
      <c r="MFP1" s="529"/>
      <c r="MFQ1" s="529"/>
      <c r="MFR1" s="529"/>
      <c r="MFS1" s="529"/>
      <c r="MFT1" s="529"/>
      <c r="MFU1" s="529"/>
      <c r="MFV1" s="529"/>
      <c r="MFW1" s="530"/>
      <c r="MFX1" s="529"/>
      <c r="MFY1" s="529"/>
      <c r="MFZ1" s="529"/>
      <c r="MGA1" s="529"/>
      <c r="MGB1" s="529"/>
      <c r="MGC1" s="529"/>
      <c r="MGD1" s="529"/>
      <c r="MGE1" s="530"/>
      <c r="MGF1" s="529"/>
      <c r="MGG1" s="529"/>
      <c r="MGH1" s="529"/>
      <c r="MGI1" s="529"/>
      <c r="MGJ1" s="529"/>
      <c r="MGK1" s="529"/>
      <c r="MGL1" s="529"/>
      <c r="MGM1" s="530"/>
      <c r="MGN1" s="529"/>
      <c r="MGO1" s="529"/>
      <c r="MGP1" s="529"/>
      <c r="MGQ1" s="529"/>
      <c r="MGR1" s="529"/>
      <c r="MGS1" s="529"/>
      <c r="MGT1" s="529"/>
      <c r="MGU1" s="530"/>
      <c r="MGV1" s="529"/>
      <c r="MGW1" s="529"/>
      <c r="MGX1" s="529"/>
      <c r="MGY1" s="529"/>
      <c r="MGZ1" s="529"/>
      <c r="MHA1" s="529"/>
      <c r="MHB1" s="529"/>
      <c r="MHC1" s="530"/>
      <c r="MHD1" s="529"/>
      <c r="MHE1" s="529"/>
      <c r="MHF1" s="529"/>
      <c r="MHG1" s="529"/>
      <c r="MHH1" s="529"/>
      <c r="MHI1" s="529"/>
      <c r="MHJ1" s="529"/>
      <c r="MHK1" s="530"/>
      <c r="MHL1" s="529"/>
      <c r="MHM1" s="529"/>
      <c r="MHN1" s="529"/>
      <c r="MHO1" s="529"/>
      <c r="MHP1" s="529"/>
      <c r="MHQ1" s="529"/>
      <c r="MHR1" s="529"/>
      <c r="MHS1" s="530"/>
      <c r="MHT1" s="529"/>
      <c r="MHU1" s="529"/>
      <c r="MHV1" s="529"/>
      <c r="MHW1" s="529"/>
      <c r="MHX1" s="529"/>
      <c r="MHY1" s="529"/>
      <c r="MHZ1" s="529"/>
      <c r="MIA1" s="530"/>
      <c r="MIB1" s="529"/>
      <c r="MIC1" s="529"/>
      <c r="MID1" s="529"/>
      <c r="MIE1" s="529"/>
      <c r="MIF1" s="529"/>
      <c r="MIG1" s="529"/>
      <c r="MIH1" s="529"/>
      <c r="MII1" s="530"/>
      <c r="MIJ1" s="529"/>
      <c r="MIK1" s="529"/>
      <c r="MIL1" s="529"/>
      <c r="MIM1" s="529"/>
      <c r="MIN1" s="529"/>
      <c r="MIO1" s="529"/>
      <c r="MIP1" s="529"/>
      <c r="MIQ1" s="530"/>
      <c r="MIR1" s="529"/>
      <c r="MIS1" s="529"/>
      <c r="MIT1" s="529"/>
      <c r="MIU1" s="529"/>
      <c r="MIV1" s="529"/>
      <c r="MIW1" s="529"/>
      <c r="MIX1" s="529"/>
      <c r="MIY1" s="530"/>
      <c r="MIZ1" s="529"/>
      <c r="MJA1" s="529"/>
      <c r="MJB1" s="529"/>
      <c r="MJC1" s="529"/>
      <c r="MJD1" s="529"/>
      <c r="MJE1" s="529"/>
      <c r="MJF1" s="529"/>
      <c r="MJG1" s="530"/>
      <c r="MJH1" s="529"/>
      <c r="MJI1" s="529"/>
      <c r="MJJ1" s="529"/>
      <c r="MJK1" s="529"/>
      <c r="MJL1" s="529"/>
      <c r="MJM1" s="529"/>
      <c r="MJN1" s="529"/>
      <c r="MJO1" s="530"/>
      <c r="MJP1" s="529"/>
      <c r="MJQ1" s="529"/>
      <c r="MJR1" s="529"/>
      <c r="MJS1" s="529"/>
      <c r="MJT1" s="529"/>
      <c r="MJU1" s="529"/>
      <c r="MJV1" s="529"/>
      <c r="MJW1" s="530"/>
      <c r="MJX1" s="529"/>
      <c r="MJY1" s="529"/>
      <c r="MJZ1" s="529"/>
      <c r="MKA1" s="529"/>
      <c r="MKB1" s="529"/>
      <c r="MKC1" s="529"/>
      <c r="MKD1" s="529"/>
      <c r="MKE1" s="530"/>
      <c r="MKF1" s="529"/>
      <c r="MKG1" s="529"/>
      <c r="MKH1" s="529"/>
      <c r="MKI1" s="529"/>
      <c r="MKJ1" s="529"/>
      <c r="MKK1" s="529"/>
      <c r="MKL1" s="529"/>
      <c r="MKM1" s="530"/>
      <c r="MKN1" s="529"/>
      <c r="MKO1" s="529"/>
      <c r="MKP1" s="529"/>
      <c r="MKQ1" s="529"/>
      <c r="MKR1" s="529"/>
      <c r="MKS1" s="529"/>
      <c r="MKT1" s="529"/>
      <c r="MKU1" s="530"/>
      <c r="MKV1" s="529"/>
      <c r="MKW1" s="529"/>
      <c r="MKX1" s="529"/>
      <c r="MKY1" s="529"/>
      <c r="MKZ1" s="529"/>
      <c r="MLA1" s="529"/>
      <c r="MLB1" s="529"/>
      <c r="MLC1" s="530"/>
      <c r="MLD1" s="529"/>
      <c r="MLE1" s="529"/>
      <c r="MLF1" s="529"/>
      <c r="MLG1" s="529"/>
      <c r="MLH1" s="529"/>
      <c r="MLI1" s="529"/>
      <c r="MLJ1" s="529"/>
      <c r="MLK1" s="530"/>
      <c r="MLL1" s="529"/>
      <c r="MLM1" s="529"/>
      <c r="MLN1" s="529"/>
      <c r="MLO1" s="529"/>
      <c r="MLP1" s="529"/>
      <c r="MLQ1" s="529"/>
      <c r="MLR1" s="529"/>
      <c r="MLS1" s="530"/>
      <c r="MLT1" s="529"/>
      <c r="MLU1" s="529"/>
      <c r="MLV1" s="529"/>
      <c r="MLW1" s="529"/>
      <c r="MLX1" s="529"/>
      <c r="MLY1" s="529"/>
      <c r="MLZ1" s="529"/>
      <c r="MMA1" s="530"/>
      <c r="MMB1" s="529"/>
      <c r="MMC1" s="529"/>
      <c r="MMD1" s="529"/>
      <c r="MME1" s="529"/>
      <c r="MMF1" s="529"/>
      <c r="MMG1" s="529"/>
      <c r="MMH1" s="529"/>
      <c r="MMI1" s="530"/>
      <c r="MMJ1" s="529"/>
      <c r="MMK1" s="529"/>
      <c r="MML1" s="529"/>
      <c r="MMM1" s="529"/>
      <c r="MMN1" s="529"/>
      <c r="MMO1" s="529"/>
      <c r="MMP1" s="529"/>
      <c r="MMQ1" s="530"/>
      <c r="MMR1" s="529"/>
      <c r="MMS1" s="529"/>
      <c r="MMT1" s="529"/>
      <c r="MMU1" s="529"/>
      <c r="MMV1" s="529"/>
      <c r="MMW1" s="529"/>
      <c r="MMX1" s="529"/>
      <c r="MMY1" s="530"/>
      <c r="MMZ1" s="529"/>
      <c r="MNA1" s="529"/>
      <c r="MNB1" s="529"/>
      <c r="MNC1" s="529"/>
      <c r="MND1" s="529"/>
      <c r="MNE1" s="529"/>
      <c r="MNF1" s="529"/>
      <c r="MNG1" s="530"/>
      <c r="MNH1" s="529"/>
      <c r="MNI1" s="529"/>
      <c r="MNJ1" s="529"/>
      <c r="MNK1" s="529"/>
      <c r="MNL1" s="529"/>
      <c r="MNM1" s="529"/>
      <c r="MNN1" s="529"/>
      <c r="MNO1" s="530"/>
      <c r="MNP1" s="529"/>
      <c r="MNQ1" s="529"/>
      <c r="MNR1" s="529"/>
      <c r="MNS1" s="529"/>
      <c r="MNT1" s="529"/>
      <c r="MNU1" s="529"/>
      <c r="MNV1" s="529"/>
      <c r="MNW1" s="530"/>
      <c r="MNX1" s="529"/>
      <c r="MNY1" s="529"/>
      <c r="MNZ1" s="529"/>
      <c r="MOA1" s="529"/>
      <c r="MOB1" s="529"/>
      <c r="MOC1" s="529"/>
      <c r="MOD1" s="529"/>
      <c r="MOE1" s="530"/>
      <c r="MOF1" s="529"/>
      <c r="MOG1" s="529"/>
      <c r="MOH1" s="529"/>
      <c r="MOI1" s="529"/>
      <c r="MOJ1" s="529"/>
      <c r="MOK1" s="529"/>
      <c r="MOL1" s="529"/>
      <c r="MOM1" s="530"/>
      <c r="MON1" s="529"/>
      <c r="MOO1" s="529"/>
      <c r="MOP1" s="529"/>
      <c r="MOQ1" s="529"/>
      <c r="MOR1" s="529"/>
      <c r="MOS1" s="529"/>
      <c r="MOT1" s="529"/>
      <c r="MOU1" s="530"/>
      <c r="MOV1" s="529"/>
      <c r="MOW1" s="529"/>
      <c r="MOX1" s="529"/>
      <c r="MOY1" s="529"/>
      <c r="MOZ1" s="529"/>
      <c r="MPA1" s="529"/>
      <c r="MPB1" s="529"/>
      <c r="MPC1" s="530"/>
      <c r="MPD1" s="529"/>
      <c r="MPE1" s="529"/>
      <c r="MPF1" s="529"/>
      <c r="MPG1" s="529"/>
      <c r="MPH1" s="529"/>
      <c r="MPI1" s="529"/>
      <c r="MPJ1" s="529"/>
      <c r="MPK1" s="530"/>
      <c r="MPL1" s="529"/>
      <c r="MPM1" s="529"/>
      <c r="MPN1" s="529"/>
      <c r="MPO1" s="529"/>
      <c r="MPP1" s="529"/>
      <c r="MPQ1" s="529"/>
      <c r="MPR1" s="529"/>
      <c r="MPS1" s="530"/>
      <c r="MPT1" s="529"/>
      <c r="MPU1" s="529"/>
      <c r="MPV1" s="529"/>
      <c r="MPW1" s="529"/>
      <c r="MPX1" s="529"/>
      <c r="MPY1" s="529"/>
      <c r="MPZ1" s="529"/>
      <c r="MQA1" s="530"/>
      <c r="MQB1" s="529"/>
      <c r="MQC1" s="529"/>
      <c r="MQD1" s="529"/>
      <c r="MQE1" s="529"/>
      <c r="MQF1" s="529"/>
      <c r="MQG1" s="529"/>
      <c r="MQH1" s="529"/>
      <c r="MQI1" s="530"/>
      <c r="MQJ1" s="529"/>
      <c r="MQK1" s="529"/>
      <c r="MQL1" s="529"/>
      <c r="MQM1" s="529"/>
      <c r="MQN1" s="529"/>
      <c r="MQO1" s="529"/>
      <c r="MQP1" s="529"/>
      <c r="MQQ1" s="530"/>
      <c r="MQR1" s="529"/>
      <c r="MQS1" s="529"/>
      <c r="MQT1" s="529"/>
      <c r="MQU1" s="529"/>
      <c r="MQV1" s="529"/>
      <c r="MQW1" s="529"/>
      <c r="MQX1" s="529"/>
      <c r="MQY1" s="530"/>
      <c r="MQZ1" s="529"/>
      <c r="MRA1" s="529"/>
      <c r="MRB1" s="529"/>
      <c r="MRC1" s="529"/>
      <c r="MRD1" s="529"/>
      <c r="MRE1" s="529"/>
      <c r="MRF1" s="529"/>
      <c r="MRG1" s="530"/>
      <c r="MRH1" s="529"/>
      <c r="MRI1" s="529"/>
      <c r="MRJ1" s="529"/>
      <c r="MRK1" s="529"/>
      <c r="MRL1" s="529"/>
      <c r="MRM1" s="529"/>
      <c r="MRN1" s="529"/>
      <c r="MRO1" s="530"/>
      <c r="MRP1" s="529"/>
      <c r="MRQ1" s="529"/>
      <c r="MRR1" s="529"/>
      <c r="MRS1" s="529"/>
      <c r="MRT1" s="529"/>
      <c r="MRU1" s="529"/>
      <c r="MRV1" s="529"/>
      <c r="MRW1" s="530"/>
      <c r="MRX1" s="529"/>
      <c r="MRY1" s="529"/>
      <c r="MRZ1" s="529"/>
      <c r="MSA1" s="529"/>
      <c r="MSB1" s="529"/>
      <c r="MSC1" s="529"/>
      <c r="MSD1" s="529"/>
      <c r="MSE1" s="530"/>
      <c r="MSF1" s="529"/>
      <c r="MSG1" s="529"/>
      <c r="MSH1" s="529"/>
      <c r="MSI1" s="529"/>
      <c r="MSJ1" s="529"/>
      <c r="MSK1" s="529"/>
      <c r="MSL1" s="529"/>
      <c r="MSM1" s="530"/>
      <c r="MSN1" s="529"/>
      <c r="MSO1" s="529"/>
      <c r="MSP1" s="529"/>
      <c r="MSQ1" s="529"/>
      <c r="MSR1" s="529"/>
      <c r="MSS1" s="529"/>
      <c r="MST1" s="529"/>
      <c r="MSU1" s="530"/>
      <c r="MSV1" s="529"/>
      <c r="MSW1" s="529"/>
      <c r="MSX1" s="529"/>
      <c r="MSY1" s="529"/>
      <c r="MSZ1" s="529"/>
      <c r="MTA1" s="529"/>
      <c r="MTB1" s="529"/>
      <c r="MTC1" s="530"/>
      <c r="MTD1" s="529"/>
      <c r="MTE1" s="529"/>
      <c r="MTF1" s="529"/>
      <c r="MTG1" s="529"/>
      <c r="MTH1" s="529"/>
      <c r="MTI1" s="529"/>
      <c r="MTJ1" s="529"/>
      <c r="MTK1" s="530"/>
      <c r="MTL1" s="529"/>
      <c r="MTM1" s="529"/>
      <c r="MTN1" s="529"/>
      <c r="MTO1" s="529"/>
      <c r="MTP1" s="529"/>
      <c r="MTQ1" s="529"/>
      <c r="MTR1" s="529"/>
      <c r="MTS1" s="530"/>
      <c r="MTT1" s="529"/>
      <c r="MTU1" s="529"/>
      <c r="MTV1" s="529"/>
      <c r="MTW1" s="529"/>
      <c r="MTX1" s="529"/>
      <c r="MTY1" s="529"/>
      <c r="MTZ1" s="529"/>
      <c r="MUA1" s="530"/>
      <c r="MUB1" s="529"/>
      <c r="MUC1" s="529"/>
      <c r="MUD1" s="529"/>
      <c r="MUE1" s="529"/>
      <c r="MUF1" s="529"/>
      <c r="MUG1" s="529"/>
      <c r="MUH1" s="529"/>
      <c r="MUI1" s="530"/>
      <c r="MUJ1" s="529"/>
      <c r="MUK1" s="529"/>
      <c r="MUL1" s="529"/>
      <c r="MUM1" s="529"/>
      <c r="MUN1" s="529"/>
      <c r="MUO1" s="529"/>
      <c r="MUP1" s="529"/>
      <c r="MUQ1" s="530"/>
      <c r="MUR1" s="529"/>
      <c r="MUS1" s="529"/>
      <c r="MUT1" s="529"/>
      <c r="MUU1" s="529"/>
      <c r="MUV1" s="529"/>
      <c r="MUW1" s="529"/>
      <c r="MUX1" s="529"/>
      <c r="MUY1" s="530"/>
      <c r="MUZ1" s="529"/>
      <c r="MVA1" s="529"/>
      <c r="MVB1" s="529"/>
      <c r="MVC1" s="529"/>
      <c r="MVD1" s="529"/>
      <c r="MVE1" s="529"/>
      <c r="MVF1" s="529"/>
      <c r="MVG1" s="530"/>
      <c r="MVH1" s="529"/>
      <c r="MVI1" s="529"/>
      <c r="MVJ1" s="529"/>
      <c r="MVK1" s="529"/>
      <c r="MVL1" s="529"/>
      <c r="MVM1" s="529"/>
      <c r="MVN1" s="529"/>
      <c r="MVO1" s="530"/>
      <c r="MVP1" s="529"/>
      <c r="MVQ1" s="529"/>
      <c r="MVR1" s="529"/>
      <c r="MVS1" s="529"/>
      <c r="MVT1" s="529"/>
      <c r="MVU1" s="529"/>
      <c r="MVV1" s="529"/>
      <c r="MVW1" s="530"/>
      <c r="MVX1" s="529"/>
      <c r="MVY1" s="529"/>
      <c r="MVZ1" s="529"/>
      <c r="MWA1" s="529"/>
      <c r="MWB1" s="529"/>
      <c r="MWC1" s="529"/>
      <c r="MWD1" s="529"/>
      <c r="MWE1" s="530"/>
      <c r="MWF1" s="529"/>
      <c r="MWG1" s="529"/>
      <c r="MWH1" s="529"/>
      <c r="MWI1" s="529"/>
      <c r="MWJ1" s="529"/>
      <c r="MWK1" s="529"/>
      <c r="MWL1" s="529"/>
      <c r="MWM1" s="530"/>
      <c r="MWN1" s="529"/>
      <c r="MWO1" s="529"/>
      <c r="MWP1" s="529"/>
      <c r="MWQ1" s="529"/>
      <c r="MWR1" s="529"/>
      <c r="MWS1" s="529"/>
      <c r="MWT1" s="529"/>
      <c r="MWU1" s="530"/>
      <c r="MWV1" s="529"/>
      <c r="MWW1" s="529"/>
      <c r="MWX1" s="529"/>
      <c r="MWY1" s="529"/>
      <c r="MWZ1" s="529"/>
      <c r="MXA1" s="529"/>
      <c r="MXB1" s="529"/>
      <c r="MXC1" s="530"/>
      <c r="MXD1" s="529"/>
      <c r="MXE1" s="529"/>
      <c r="MXF1" s="529"/>
      <c r="MXG1" s="529"/>
      <c r="MXH1" s="529"/>
      <c r="MXI1" s="529"/>
      <c r="MXJ1" s="529"/>
      <c r="MXK1" s="530"/>
      <c r="MXL1" s="529"/>
      <c r="MXM1" s="529"/>
      <c r="MXN1" s="529"/>
      <c r="MXO1" s="529"/>
      <c r="MXP1" s="529"/>
      <c r="MXQ1" s="529"/>
      <c r="MXR1" s="529"/>
      <c r="MXS1" s="530"/>
      <c r="MXT1" s="529"/>
      <c r="MXU1" s="529"/>
      <c r="MXV1" s="529"/>
      <c r="MXW1" s="529"/>
      <c r="MXX1" s="529"/>
      <c r="MXY1" s="529"/>
      <c r="MXZ1" s="529"/>
      <c r="MYA1" s="530"/>
      <c r="MYB1" s="529"/>
      <c r="MYC1" s="529"/>
      <c r="MYD1" s="529"/>
      <c r="MYE1" s="529"/>
      <c r="MYF1" s="529"/>
      <c r="MYG1" s="529"/>
      <c r="MYH1" s="529"/>
      <c r="MYI1" s="530"/>
      <c r="MYJ1" s="529"/>
      <c r="MYK1" s="529"/>
      <c r="MYL1" s="529"/>
      <c r="MYM1" s="529"/>
      <c r="MYN1" s="529"/>
      <c r="MYO1" s="529"/>
      <c r="MYP1" s="529"/>
      <c r="MYQ1" s="530"/>
      <c r="MYR1" s="529"/>
      <c r="MYS1" s="529"/>
      <c r="MYT1" s="529"/>
      <c r="MYU1" s="529"/>
      <c r="MYV1" s="529"/>
      <c r="MYW1" s="529"/>
      <c r="MYX1" s="529"/>
      <c r="MYY1" s="530"/>
      <c r="MYZ1" s="529"/>
      <c r="MZA1" s="529"/>
      <c r="MZB1" s="529"/>
      <c r="MZC1" s="529"/>
      <c r="MZD1" s="529"/>
      <c r="MZE1" s="529"/>
      <c r="MZF1" s="529"/>
      <c r="MZG1" s="530"/>
      <c r="MZH1" s="529"/>
      <c r="MZI1" s="529"/>
      <c r="MZJ1" s="529"/>
      <c r="MZK1" s="529"/>
      <c r="MZL1" s="529"/>
      <c r="MZM1" s="529"/>
      <c r="MZN1" s="529"/>
      <c r="MZO1" s="530"/>
      <c r="MZP1" s="529"/>
      <c r="MZQ1" s="529"/>
      <c r="MZR1" s="529"/>
      <c r="MZS1" s="529"/>
      <c r="MZT1" s="529"/>
      <c r="MZU1" s="529"/>
      <c r="MZV1" s="529"/>
      <c r="MZW1" s="530"/>
      <c r="MZX1" s="529"/>
      <c r="MZY1" s="529"/>
      <c r="MZZ1" s="529"/>
      <c r="NAA1" s="529"/>
      <c r="NAB1" s="529"/>
      <c r="NAC1" s="529"/>
      <c r="NAD1" s="529"/>
      <c r="NAE1" s="530"/>
      <c r="NAF1" s="529"/>
      <c r="NAG1" s="529"/>
      <c r="NAH1" s="529"/>
      <c r="NAI1" s="529"/>
      <c r="NAJ1" s="529"/>
      <c r="NAK1" s="529"/>
      <c r="NAL1" s="529"/>
      <c r="NAM1" s="530"/>
      <c r="NAN1" s="529"/>
      <c r="NAO1" s="529"/>
      <c r="NAP1" s="529"/>
      <c r="NAQ1" s="529"/>
      <c r="NAR1" s="529"/>
      <c r="NAS1" s="529"/>
      <c r="NAT1" s="529"/>
      <c r="NAU1" s="530"/>
      <c r="NAV1" s="529"/>
      <c r="NAW1" s="529"/>
      <c r="NAX1" s="529"/>
      <c r="NAY1" s="529"/>
      <c r="NAZ1" s="529"/>
      <c r="NBA1" s="529"/>
      <c r="NBB1" s="529"/>
      <c r="NBC1" s="530"/>
      <c r="NBD1" s="529"/>
      <c r="NBE1" s="529"/>
      <c r="NBF1" s="529"/>
      <c r="NBG1" s="529"/>
      <c r="NBH1" s="529"/>
      <c r="NBI1" s="529"/>
      <c r="NBJ1" s="529"/>
      <c r="NBK1" s="530"/>
      <c r="NBL1" s="529"/>
      <c r="NBM1" s="529"/>
      <c r="NBN1" s="529"/>
      <c r="NBO1" s="529"/>
      <c r="NBP1" s="529"/>
      <c r="NBQ1" s="529"/>
      <c r="NBR1" s="529"/>
      <c r="NBS1" s="530"/>
      <c r="NBT1" s="529"/>
      <c r="NBU1" s="529"/>
      <c r="NBV1" s="529"/>
      <c r="NBW1" s="529"/>
      <c r="NBX1" s="529"/>
      <c r="NBY1" s="529"/>
      <c r="NBZ1" s="529"/>
      <c r="NCA1" s="530"/>
      <c r="NCB1" s="529"/>
      <c r="NCC1" s="529"/>
      <c r="NCD1" s="529"/>
      <c r="NCE1" s="529"/>
      <c r="NCF1" s="529"/>
      <c r="NCG1" s="529"/>
      <c r="NCH1" s="529"/>
      <c r="NCI1" s="530"/>
      <c r="NCJ1" s="529"/>
      <c r="NCK1" s="529"/>
      <c r="NCL1" s="529"/>
      <c r="NCM1" s="529"/>
      <c r="NCN1" s="529"/>
      <c r="NCO1" s="529"/>
      <c r="NCP1" s="529"/>
      <c r="NCQ1" s="530"/>
      <c r="NCR1" s="529"/>
      <c r="NCS1" s="529"/>
      <c r="NCT1" s="529"/>
      <c r="NCU1" s="529"/>
      <c r="NCV1" s="529"/>
      <c r="NCW1" s="529"/>
      <c r="NCX1" s="529"/>
      <c r="NCY1" s="530"/>
      <c r="NCZ1" s="529"/>
      <c r="NDA1" s="529"/>
      <c r="NDB1" s="529"/>
      <c r="NDC1" s="529"/>
      <c r="NDD1" s="529"/>
      <c r="NDE1" s="529"/>
      <c r="NDF1" s="529"/>
      <c r="NDG1" s="530"/>
      <c r="NDH1" s="529"/>
      <c r="NDI1" s="529"/>
      <c r="NDJ1" s="529"/>
      <c r="NDK1" s="529"/>
      <c r="NDL1" s="529"/>
      <c r="NDM1" s="529"/>
      <c r="NDN1" s="529"/>
      <c r="NDO1" s="530"/>
      <c r="NDP1" s="529"/>
      <c r="NDQ1" s="529"/>
      <c r="NDR1" s="529"/>
      <c r="NDS1" s="529"/>
      <c r="NDT1" s="529"/>
      <c r="NDU1" s="529"/>
      <c r="NDV1" s="529"/>
      <c r="NDW1" s="530"/>
      <c r="NDX1" s="529"/>
      <c r="NDY1" s="529"/>
      <c r="NDZ1" s="529"/>
      <c r="NEA1" s="529"/>
      <c r="NEB1" s="529"/>
      <c r="NEC1" s="529"/>
      <c r="NED1" s="529"/>
      <c r="NEE1" s="530"/>
      <c r="NEF1" s="529"/>
      <c r="NEG1" s="529"/>
      <c r="NEH1" s="529"/>
      <c r="NEI1" s="529"/>
      <c r="NEJ1" s="529"/>
      <c r="NEK1" s="529"/>
      <c r="NEL1" s="529"/>
      <c r="NEM1" s="530"/>
      <c r="NEN1" s="529"/>
      <c r="NEO1" s="529"/>
      <c r="NEP1" s="529"/>
      <c r="NEQ1" s="529"/>
      <c r="NER1" s="529"/>
      <c r="NES1" s="529"/>
      <c r="NET1" s="529"/>
      <c r="NEU1" s="530"/>
      <c r="NEV1" s="529"/>
      <c r="NEW1" s="529"/>
      <c r="NEX1" s="529"/>
      <c r="NEY1" s="529"/>
      <c r="NEZ1" s="529"/>
      <c r="NFA1" s="529"/>
      <c r="NFB1" s="529"/>
      <c r="NFC1" s="530"/>
      <c r="NFD1" s="529"/>
      <c r="NFE1" s="529"/>
      <c r="NFF1" s="529"/>
      <c r="NFG1" s="529"/>
      <c r="NFH1" s="529"/>
      <c r="NFI1" s="529"/>
      <c r="NFJ1" s="529"/>
      <c r="NFK1" s="530"/>
      <c r="NFL1" s="529"/>
      <c r="NFM1" s="529"/>
      <c r="NFN1" s="529"/>
      <c r="NFO1" s="529"/>
      <c r="NFP1" s="529"/>
      <c r="NFQ1" s="529"/>
      <c r="NFR1" s="529"/>
      <c r="NFS1" s="530"/>
      <c r="NFT1" s="529"/>
      <c r="NFU1" s="529"/>
      <c r="NFV1" s="529"/>
      <c r="NFW1" s="529"/>
      <c r="NFX1" s="529"/>
      <c r="NFY1" s="529"/>
      <c r="NFZ1" s="529"/>
      <c r="NGA1" s="530"/>
      <c r="NGB1" s="529"/>
      <c r="NGC1" s="529"/>
      <c r="NGD1" s="529"/>
      <c r="NGE1" s="529"/>
      <c r="NGF1" s="529"/>
      <c r="NGG1" s="529"/>
      <c r="NGH1" s="529"/>
      <c r="NGI1" s="530"/>
      <c r="NGJ1" s="529"/>
      <c r="NGK1" s="529"/>
      <c r="NGL1" s="529"/>
      <c r="NGM1" s="529"/>
      <c r="NGN1" s="529"/>
      <c r="NGO1" s="529"/>
      <c r="NGP1" s="529"/>
      <c r="NGQ1" s="530"/>
      <c r="NGR1" s="529"/>
      <c r="NGS1" s="529"/>
      <c r="NGT1" s="529"/>
      <c r="NGU1" s="529"/>
      <c r="NGV1" s="529"/>
      <c r="NGW1" s="529"/>
      <c r="NGX1" s="529"/>
      <c r="NGY1" s="530"/>
      <c r="NGZ1" s="529"/>
      <c r="NHA1" s="529"/>
      <c r="NHB1" s="529"/>
      <c r="NHC1" s="529"/>
      <c r="NHD1" s="529"/>
      <c r="NHE1" s="529"/>
      <c r="NHF1" s="529"/>
      <c r="NHG1" s="530"/>
      <c r="NHH1" s="529"/>
      <c r="NHI1" s="529"/>
      <c r="NHJ1" s="529"/>
      <c r="NHK1" s="529"/>
      <c r="NHL1" s="529"/>
      <c r="NHM1" s="529"/>
      <c r="NHN1" s="529"/>
      <c r="NHO1" s="530"/>
      <c r="NHP1" s="529"/>
      <c r="NHQ1" s="529"/>
      <c r="NHR1" s="529"/>
      <c r="NHS1" s="529"/>
      <c r="NHT1" s="529"/>
      <c r="NHU1" s="529"/>
      <c r="NHV1" s="529"/>
      <c r="NHW1" s="530"/>
      <c r="NHX1" s="529"/>
      <c r="NHY1" s="529"/>
      <c r="NHZ1" s="529"/>
      <c r="NIA1" s="529"/>
      <c r="NIB1" s="529"/>
      <c r="NIC1" s="529"/>
      <c r="NID1" s="529"/>
      <c r="NIE1" s="530"/>
      <c r="NIF1" s="529"/>
      <c r="NIG1" s="529"/>
      <c r="NIH1" s="529"/>
      <c r="NII1" s="529"/>
      <c r="NIJ1" s="529"/>
      <c r="NIK1" s="529"/>
      <c r="NIL1" s="529"/>
      <c r="NIM1" s="530"/>
      <c r="NIN1" s="529"/>
      <c r="NIO1" s="529"/>
      <c r="NIP1" s="529"/>
      <c r="NIQ1" s="529"/>
      <c r="NIR1" s="529"/>
      <c r="NIS1" s="529"/>
      <c r="NIT1" s="529"/>
      <c r="NIU1" s="530"/>
      <c r="NIV1" s="529"/>
      <c r="NIW1" s="529"/>
      <c r="NIX1" s="529"/>
      <c r="NIY1" s="529"/>
      <c r="NIZ1" s="529"/>
      <c r="NJA1" s="529"/>
      <c r="NJB1" s="529"/>
      <c r="NJC1" s="530"/>
      <c r="NJD1" s="529"/>
      <c r="NJE1" s="529"/>
      <c r="NJF1" s="529"/>
      <c r="NJG1" s="529"/>
      <c r="NJH1" s="529"/>
      <c r="NJI1" s="529"/>
      <c r="NJJ1" s="529"/>
      <c r="NJK1" s="530"/>
      <c r="NJL1" s="529"/>
      <c r="NJM1" s="529"/>
      <c r="NJN1" s="529"/>
      <c r="NJO1" s="529"/>
      <c r="NJP1" s="529"/>
      <c r="NJQ1" s="529"/>
      <c r="NJR1" s="529"/>
      <c r="NJS1" s="530"/>
      <c r="NJT1" s="529"/>
      <c r="NJU1" s="529"/>
      <c r="NJV1" s="529"/>
      <c r="NJW1" s="529"/>
      <c r="NJX1" s="529"/>
      <c r="NJY1" s="529"/>
      <c r="NJZ1" s="529"/>
      <c r="NKA1" s="530"/>
      <c r="NKB1" s="529"/>
      <c r="NKC1" s="529"/>
      <c r="NKD1" s="529"/>
      <c r="NKE1" s="529"/>
      <c r="NKF1" s="529"/>
      <c r="NKG1" s="529"/>
      <c r="NKH1" s="529"/>
      <c r="NKI1" s="530"/>
      <c r="NKJ1" s="529"/>
      <c r="NKK1" s="529"/>
      <c r="NKL1" s="529"/>
      <c r="NKM1" s="529"/>
      <c r="NKN1" s="529"/>
      <c r="NKO1" s="529"/>
      <c r="NKP1" s="529"/>
      <c r="NKQ1" s="530"/>
      <c r="NKR1" s="529"/>
      <c r="NKS1" s="529"/>
      <c r="NKT1" s="529"/>
      <c r="NKU1" s="529"/>
      <c r="NKV1" s="529"/>
      <c r="NKW1" s="529"/>
      <c r="NKX1" s="529"/>
      <c r="NKY1" s="530"/>
      <c r="NKZ1" s="529"/>
      <c r="NLA1" s="529"/>
      <c r="NLB1" s="529"/>
      <c r="NLC1" s="529"/>
      <c r="NLD1" s="529"/>
      <c r="NLE1" s="529"/>
      <c r="NLF1" s="529"/>
      <c r="NLG1" s="530"/>
      <c r="NLH1" s="529"/>
      <c r="NLI1" s="529"/>
      <c r="NLJ1" s="529"/>
      <c r="NLK1" s="529"/>
      <c r="NLL1" s="529"/>
      <c r="NLM1" s="529"/>
      <c r="NLN1" s="529"/>
      <c r="NLO1" s="530"/>
      <c r="NLP1" s="529"/>
      <c r="NLQ1" s="529"/>
      <c r="NLR1" s="529"/>
      <c r="NLS1" s="529"/>
      <c r="NLT1" s="529"/>
      <c r="NLU1" s="529"/>
      <c r="NLV1" s="529"/>
      <c r="NLW1" s="530"/>
      <c r="NLX1" s="529"/>
      <c r="NLY1" s="529"/>
      <c r="NLZ1" s="529"/>
      <c r="NMA1" s="529"/>
      <c r="NMB1" s="529"/>
      <c r="NMC1" s="529"/>
      <c r="NMD1" s="529"/>
      <c r="NME1" s="530"/>
      <c r="NMF1" s="529"/>
      <c r="NMG1" s="529"/>
      <c r="NMH1" s="529"/>
      <c r="NMI1" s="529"/>
      <c r="NMJ1" s="529"/>
      <c r="NMK1" s="529"/>
      <c r="NML1" s="529"/>
      <c r="NMM1" s="530"/>
      <c r="NMN1" s="529"/>
      <c r="NMO1" s="529"/>
      <c r="NMP1" s="529"/>
      <c r="NMQ1" s="529"/>
      <c r="NMR1" s="529"/>
      <c r="NMS1" s="529"/>
      <c r="NMT1" s="529"/>
      <c r="NMU1" s="530"/>
      <c r="NMV1" s="529"/>
      <c r="NMW1" s="529"/>
      <c r="NMX1" s="529"/>
      <c r="NMY1" s="529"/>
      <c r="NMZ1" s="529"/>
      <c r="NNA1" s="529"/>
      <c r="NNB1" s="529"/>
      <c r="NNC1" s="530"/>
      <c r="NND1" s="529"/>
      <c r="NNE1" s="529"/>
      <c r="NNF1" s="529"/>
      <c r="NNG1" s="529"/>
      <c r="NNH1" s="529"/>
      <c r="NNI1" s="529"/>
      <c r="NNJ1" s="529"/>
      <c r="NNK1" s="530"/>
      <c r="NNL1" s="529"/>
      <c r="NNM1" s="529"/>
      <c r="NNN1" s="529"/>
      <c r="NNO1" s="529"/>
      <c r="NNP1" s="529"/>
      <c r="NNQ1" s="529"/>
      <c r="NNR1" s="529"/>
      <c r="NNS1" s="530"/>
      <c r="NNT1" s="529"/>
      <c r="NNU1" s="529"/>
      <c r="NNV1" s="529"/>
      <c r="NNW1" s="529"/>
      <c r="NNX1" s="529"/>
      <c r="NNY1" s="529"/>
      <c r="NNZ1" s="529"/>
      <c r="NOA1" s="530"/>
      <c r="NOB1" s="529"/>
      <c r="NOC1" s="529"/>
      <c r="NOD1" s="529"/>
      <c r="NOE1" s="529"/>
      <c r="NOF1" s="529"/>
      <c r="NOG1" s="529"/>
      <c r="NOH1" s="529"/>
      <c r="NOI1" s="530"/>
      <c r="NOJ1" s="529"/>
      <c r="NOK1" s="529"/>
      <c r="NOL1" s="529"/>
      <c r="NOM1" s="529"/>
      <c r="NON1" s="529"/>
      <c r="NOO1" s="529"/>
      <c r="NOP1" s="529"/>
      <c r="NOQ1" s="530"/>
      <c r="NOR1" s="529"/>
      <c r="NOS1" s="529"/>
      <c r="NOT1" s="529"/>
      <c r="NOU1" s="529"/>
      <c r="NOV1" s="529"/>
      <c r="NOW1" s="529"/>
      <c r="NOX1" s="529"/>
      <c r="NOY1" s="530"/>
      <c r="NOZ1" s="529"/>
      <c r="NPA1" s="529"/>
      <c r="NPB1" s="529"/>
      <c r="NPC1" s="529"/>
      <c r="NPD1" s="529"/>
      <c r="NPE1" s="529"/>
      <c r="NPF1" s="529"/>
      <c r="NPG1" s="530"/>
      <c r="NPH1" s="529"/>
      <c r="NPI1" s="529"/>
      <c r="NPJ1" s="529"/>
      <c r="NPK1" s="529"/>
      <c r="NPL1" s="529"/>
      <c r="NPM1" s="529"/>
      <c r="NPN1" s="529"/>
      <c r="NPO1" s="530"/>
      <c r="NPP1" s="529"/>
      <c r="NPQ1" s="529"/>
      <c r="NPR1" s="529"/>
      <c r="NPS1" s="529"/>
      <c r="NPT1" s="529"/>
      <c r="NPU1" s="529"/>
      <c r="NPV1" s="529"/>
      <c r="NPW1" s="530"/>
      <c r="NPX1" s="529"/>
      <c r="NPY1" s="529"/>
      <c r="NPZ1" s="529"/>
      <c r="NQA1" s="529"/>
      <c r="NQB1" s="529"/>
      <c r="NQC1" s="529"/>
      <c r="NQD1" s="529"/>
      <c r="NQE1" s="530"/>
      <c r="NQF1" s="529"/>
      <c r="NQG1" s="529"/>
      <c r="NQH1" s="529"/>
      <c r="NQI1" s="529"/>
      <c r="NQJ1" s="529"/>
      <c r="NQK1" s="529"/>
      <c r="NQL1" s="529"/>
      <c r="NQM1" s="530"/>
      <c r="NQN1" s="529"/>
      <c r="NQO1" s="529"/>
      <c r="NQP1" s="529"/>
      <c r="NQQ1" s="529"/>
      <c r="NQR1" s="529"/>
      <c r="NQS1" s="529"/>
      <c r="NQT1" s="529"/>
      <c r="NQU1" s="530"/>
      <c r="NQV1" s="529"/>
      <c r="NQW1" s="529"/>
      <c r="NQX1" s="529"/>
      <c r="NQY1" s="529"/>
      <c r="NQZ1" s="529"/>
      <c r="NRA1" s="529"/>
      <c r="NRB1" s="529"/>
      <c r="NRC1" s="530"/>
      <c r="NRD1" s="529"/>
      <c r="NRE1" s="529"/>
      <c r="NRF1" s="529"/>
      <c r="NRG1" s="529"/>
      <c r="NRH1" s="529"/>
      <c r="NRI1" s="529"/>
      <c r="NRJ1" s="529"/>
      <c r="NRK1" s="530"/>
      <c r="NRL1" s="529"/>
      <c r="NRM1" s="529"/>
      <c r="NRN1" s="529"/>
      <c r="NRO1" s="529"/>
      <c r="NRP1" s="529"/>
      <c r="NRQ1" s="529"/>
      <c r="NRR1" s="529"/>
      <c r="NRS1" s="530"/>
      <c r="NRT1" s="529"/>
      <c r="NRU1" s="529"/>
      <c r="NRV1" s="529"/>
      <c r="NRW1" s="529"/>
      <c r="NRX1" s="529"/>
      <c r="NRY1" s="529"/>
      <c r="NRZ1" s="529"/>
      <c r="NSA1" s="530"/>
      <c r="NSB1" s="529"/>
      <c r="NSC1" s="529"/>
      <c r="NSD1" s="529"/>
      <c r="NSE1" s="529"/>
      <c r="NSF1" s="529"/>
      <c r="NSG1" s="529"/>
      <c r="NSH1" s="529"/>
      <c r="NSI1" s="530"/>
      <c r="NSJ1" s="529"/>
      <c r="NSK1" s="529"/>
      <c r="NSL1" s="529"/>
      <c r="NSM1" s="529"/>
      <c r="NSN1" s="529"/>
      <c r="NSO1" s="529"/>
      <c r="NSP1" s="529"/>
      <c r="NSQ1" s="530"/>
      <c r="NSR1" s="529"/>
      <c r="NSS1" s="529"/>
      <c r="NST1" s="529"/>
      <c r="NSU1" s="529"/>
      <c r="NSV1" s="529"/>
      <c r="NSW1" s="529"/>
      <c r="NSX1" s="529"/>
      <c r="NSY1" s="530"/>
      <c r="NSZ1" s="529"/>
      <c r="NTA1" s="529"/>
      <c r="NTB1" s="529"/>
      <c r="NTC1" s="529"/>
      <c r="NTD1" s="529"/>
      <c r="NTE1" s="529"/>
      <c r="NTF1" s="529"/>
      <c r="NTG1" s="530"/>
      <c r="NTH1" s="529"/>
      <c r="NTI1" s="529"/>
      <c r="NTJ1" s="529"/>
      <c r="NTK1" s="529"/>
      <c r="NTL1" s="529"/>
      <c r="NTM1" s="529"/>
      <c r="NTN1" s="529"/>
      <c r="NTO1" s="530"/>
      <c r="NTP1" s="529"/>
      <c r="NTQ1" s="529"/>
      <c r="NTR1" s="529"/>
      <c r="NTS1" s="529"/>
      <c r="NTT1" s="529"/>
      <c r="NTU1" s="529"/>
      <c r="NTV1" s="529"/>
      <c r="NTW1" s="530"/>
      <c r="NTX1" s="529"/>
      <c r="NTY1" s="529"/>
      <c r="NTZ1" s="529"/>
      <c r="NUA1" s="529"/>
      <c r="NUB1" s="529"/>
      <c r="NUC1" s="529"/>
      <c r="NUD1" s="529"/>
      <c r="NUE1" s="530"/>
      <c r="NUF1" s="529"/>
      <c r="NUG1" s="529"/>
      <c r="NUH1" s="529"/>
      <c r="NUI1" s="529"/>
      <c r="NUJ1" s="529"/>
      <c r="NUK1" s="529"/>
      <c r="NUL1" s="529"/>
      <c r="NUM1" s="530"/>
      <c r="NUN1" s="529"/>
      <c r="NUO1" s="529"/>
      <c r="NUP1" s="529"/>
      <c r="NUQ1" s="529"/>
      <c r="NUR1" s="529"/>
      <c r="NUS1" s="529"/>
      <c r="NUT1" s="529"/>
      <c r="NUU1" s="530"/>
      <c r="NUV1" s="529"/>
      <c r="NUW1" s="529"/>
      <c r="NUX1" s="529"/>
      <c r="NUY1" s="529"/>
      <c r="NUZ1" s="529"/>
      <c r="NVA1" s="529"/>
      <c r="NVB1" s="529"/>
      <c r="NVC1" s="530"/>
      <c r="NVD1" s="529"/>
      <c r="NVE1" s="529"/>
      <c r="NVF1" s="529"/>
      <c r="NVG1" s="529"/>
      <c r="NVH1" s="529"/>
      <c r="NVI1" s="529"/>
      <c r="NVJ1" s="529"/>
      <c r="NVK1" s="530"/>
      <c r="NVL1" s="529"/>
      <c r="NVM1" s="529"/>
      <c r="NVN1" s="529"/>
      <c r="NVO1" s="529"/>
      <c r="NVP1" s="529"/>
      <c r="NVQ1" s="529"/>
      <c r="NVR1" s="529"/>
      <c r="NVS1" s="530"/>
      <c r="NVT1" s="529"/>
      <c r="NVU1" s="529"/>
      <c r="NVV1" s="529"/>
      <c r="NVW1" s="529"/>
      <c r="NVX1" s="529"/>
      <c r="NVY1" s="529"/>
      <c r="NVZ1" s="529"/>
      <c r="NWA1" s="530"/>
      <c r="NWB1" s="529"/>
      <c r="NWC1" s="529"/>
      <c r="NWD1" s="529"/>
      <c r="NWE1" s="529"/>
      <c r="NWF1" s="529"/>
      <c r="NWG1" s="529"/>
      <c r="NWH1" s="529"/>
      <c r="NWI1" s="530"/>
      <c r="NWJ1" s="529"/>
      <c r="NWK1" s="529"/>
      <c r="NWL1" s="529"/>
      <c r="NWM1" s="529"/>
      <c r="NWN1" s="529"/>
      <c r="NWO1" s="529"/>
      <c r="NWP1" s="529"/>
      <c r="NWQ1" s="530"/>
      <c r="NWR1" s="529"/>
      <c r="NWS1" s="529"/>
      <c r="NWT1" s="529"/>
      <c r="NWU1" s="529"/>
      <c r="NWV1" s="529"/>
      <c r="NWW1" s="529"/>
      <c r="NWX1" s="529"/>
      <c r="NWY1" s="530"/>
      <c r="NWZ1" s="529"/>
      <c r="NXA1" s="529"/>
      <c r="NXB1" s="529"/>
      <c r="NXC1" s="529"/>
      <c r="NXD1" s="529"/>
      <c r="NXE1" s="529"/>
      <c r="NXF1" s="529"/>
      <c r="NXG1" s="530"/>
      <c r="NXH1" s="529"/>
      <c r="NXI1" s="529"/>
      <c r="NXJ1" s="529"/>
      <c r="NXK1" s="529"/>
      <c r="NXL1" s="529"/>
      <c r="NXM1" s="529"/>
      <c r="NXN1" s="529"/>
      <c r="NXO1" s="530"/>
      <c r="NXP1" s="529"/>
      <c r="NXQ1" s="529"/>
      <c r="NXR1" s="529"/>
      <c r="NXS1" s="529"/>
      <c r="NXT1" s="529"/>
      <c r="NXU1" s="529"/>
      <c r="NXV1" s="529"/>
      <c r="NXW1" s="530"/>
      <c r="NXX1" s="529"/>
      <c r="NXY1" s="529"/>
      <c r="NXZ1" s="529"/>
      <c r="NYA1" s="529"/>
      <c r="NYB1" s="529"/>
      <c r="NYC1" s="529"/>
      <c r="NYD1" s="529"/>
      <c r="NYE1" s="530"/>
      <c r="NYF1" s="529"/>
      <c r="NYG1" s="529"/>
      <c r="NYH1" s="529"/>
      <c r="NYI1" s="529"/>
      <c r="NYJ1" s="529"/>
      <c r="NYK1" s="529"/>
      <c r="NYL1" s="529"/>
      <c r="NYM1" s="530"/>
      <c r="NYN1" s="529"/>
      <c r="NYO1" s="529"/>
      <c r="NYP1" s="529"/>
      <c r="NYQ1" s="529"/>
      <c r="NYR1" s="529"/>
      <c r="NYS1" s="529"/>
      <c r="NYT1" s="529"/>
      <c r="NYU1" s="530"/>
      <c r="NYV1" s="529"/>
      <c r="NYW1" s="529"/>
      <c r="NYX1" s="529"/>
      <c r="NYY1" s="529"/>
      <c r="NYZ1" s="529"/>
      <c r="NZA1" s="529"/>
      <c r="NZB1" s="529"/>
      <c r="NZC1" s="530"/>
      <c r="NZD1" s="529"/>
      <c r="NZE1" s="529"/>
      <c r="NZF1" s="529"/>
      <c r="NZG1" s="529"/>
      <c r="NZH1" s="529"/>
      <c r="NZI1" s="529"/>
      <c r="NZJ1" s="529"/>
      <c r="NZK1" s="530"/>
      <c r="NZL1" s="529"/>
      <c r="NZM1" s="529"/>
      <c r="NZN1" s="529"/>
      <c r="NZO1" s="529"/>
      <c r="NZP1" s="529"/>
      <c r="NZQ1" s="529"/>
      <c r="NZR1" s="529"/>
      <c r="NZS1" s="530"/>
      <c r="NZT1" s="529"/>
      <c r="NZU1" s="529"/>
      <c r="NZV1" s="529"/>
      <c r="NZW1" s="529"/>
      <c r="NZX1" s="529"/>
      <c r="NZY1" s="529"/>
      <c r="NZZ1" s="529"/>
      <c r="OAA1" s="530"/>
      <c r="OAB1" s="529"/>
      <c r="OAC1" s="529"/>
      <c r="OAD1" s="529"/>
      <c r="OAE1" s="529"/>
      <c r="OAF1" s="529"/>
      <c r="OAG1" s="529"/>
      <c r="OAH1" s="529"/>
      <c r="OAI1" s="530"/>
      <c r="OAJ1" s="529"/>
      <c r="OAK1" s="529"/>
      <c r="OAL1" s="529"/>
      <c r="OAM1" s="529"/>
      <c r="OAN1" s="529"/>
      <c r="OAO1" s="529"/>
      <c r="OAP1" s="529"/>
      <c r="OAQ1" s="530"/>
      <c r="OAR1" s="529"/>
      <c r="OAS1" s="529"/>
      <c r="OAT1" s="529"/>
      <c r="OAU1" s="529"/>
      <c r="OAV1" s="529"/>
      <c r="OAW1" s="529"/>
      <c r="OAX1" s="529"/>
      <c r="OAY1" s="530"/>
      <c r="OAZ1" s="529"/>
      <c r="OBA1" s="529"/>
      <c r="OBB1" s="529"/>
      <c r="OBC1" s="529"/>
      <c r="OBD1" s="529"/>
      <c r="OBE1" s="529"/>
      <c r="OBF1" s="529"/>
      <c r="OBG1" s="530"/>
      <c r="OBH1" s="529"/>
      <c r="OBI1" s="529"/>
      <c r="OBJ1" s="529"/>
      <c r="OBK1" s="529"/>
      <c r="OBL1" s="529"/>
      <c r="OBM1" s="529"/>
      <c r="OBN1" s="529"/>
      <c r="OBO1" s="530"/>
      <c r="OBP1" s="529"/>
      <c r="OBQ1" s="529"/>
      <c r="OBR1" s="529"/>
      <c r="OBS1" s="529"/>
      <c r="OBT1" s="529"/>
      <c r="OBU1" s="529"/>
      <c r="OBV1" s="529"/>
      <c r="OBW1" s="530"/>
      <c r="OBX1" s="529"/>
      <c r="OBY1" s="529"/>
      <c r="OBZ1" s="529"/>
      <c r="OCA1" s="529"/>
      <c r="OCB1" s="529"/>
      <c r="OCC1" s="529"/>
      <c r="OCD1" s="529"/>
      <c r="OCE1" s="530"/>
      <c r="OCF1" s="529"/>
      <c r="OCG1" s="529"/>
      <c r="OCH1" s="529"/>
      <c r="OCI1" s="529"/>
      <c r="OCJ1" s="529"/>
      <c r="OCK1" s="529"/>
      <c r="OCL1" s="529"/>
      <c r="OCM1" s="530"/>
      <c r="OCN1" s="529"/>
      <c r="OCO1" s="529"/>
      <c r="OCP1" s="529"/>
      <c r="OCQ1" s="529"/>
      <c r="OCR1" s="529"/>
      <c r="OCS1" s="529"/>
      <c r="OCT1" s="529"/>
      <c r="OCU1" s="530"/>
      <c r="OCV1" s="529"/>
      <c r="OCW1" s="529"/>
      <c r="OCX1" s="529"/>
      <c r="OCY1" s="529"/>
      <c r="OCZ1" s="529"/>
      <c r="ODA1" s="529"/>
      <c r="ODB1" s="529"/>
      <c r="ODC1" s="530"/>
      <c r="ODD1" s="529"/>
      <c r="ODE1" s="529"/>
      <c r="ODF1" s="529"/>
      <c r="ODG1" s="529"/>
      <c r="ODH1" s="529"/>
      <c r="ODI1" s="529"/>
      <c r="ODJ1" s="529"/>
      <c r="ODK1" s="530"/>
      <c r="ODL1" s="529"/>
      <c r="ODM1" s="529"/>
      <c r="ODN1" s="529"/>
      <c r="ODO1" s="529"/>
      <c r="ODP1" s="529"/>
      <c r="ODQ1" s="529"/>
      <c r="ODR1" s="529"/>
      <c r="ODS1" s="530"/>
      <c r="ODT1" s="529"/>
      <c r="ODU1" s="529"/>
      <c r="ODV1" s="529"/>
      <c r="ODW1" s="529"/>
      <c r="ODX1" s="529"/>
      <c r="ODY1" s="529"/>
      <c r="ODZ1" s="529"/>
      <c r="OEA1" s="530"/>
      <c r="OEB1" s="529"/>
      <c r="OEC1" s="529"/>
      <c r="OED1" s="529"/>
      <c r="OEE1" s="529"/>
      <c r="OEF1" s="529"/>
      <c r="OEG1" s="529"/>
      <c r="OEH1" s="529"/>
      <c r="OEI1" s="530"/>
      <c r="OEJ1" s="529"/>
      <c r="OEK1" s="529"/>
      <c r="OEL1" s="529"/>
      <c r="OEM1" s="529"/>
      <c r="OEN1" s="529"/>
      <c r="OEO1" s="529"/>
      <c r="OEP1" s="529"/>
      <c r="OEQ1" s="530"/>
      <c r="OER1" s="529"/>
      <c r="OES1" s="529"/>
      <c r="OET1" s="529"/>
      <c r="OEU1" s="529"/>
      <c r="OEV1" s="529"/>
      <c r="OEW1" s="529"/>
      <c r="OEX1" s="529"/>
      <c r="OEY1" s="530"/>
      <c r="OEZ1" s="529"/>
      <c r="OFA1" s="529"/>
      <c r="OFB1" s="529"/>
      <c r="OFC1" s="529"/>
      <c r="OFD1" s="529"/>
      <c r="OFE1" s="529"/>
      <c r="OFF1" s="529"/>
      <c r="OFG1" s="530"/>
      <c r="OFH1" s="529"/>
      <c r="OFI1" s="529"/>
      <c r="OFJ1" s="529"/>
      <c r="OFK1" s="529"/>
      <c r="OFL1" s="529"/>
      <c r="OFM1" s="529"/>
      <c r="OFN1" s="529"/>
      <c r="OFO1" s="530"/>
      <c r="OFP1" s="529"/>
      <c r="OFQ1" s="529"/>
      <c r="OFR1" s="529"/>
      <c r="OFS1" s="529"/>
      <c r="OFT1" s="529"/>
      <c r="OFU1" s="529"/>
      <c r="OFV1" s="529"/>
      <c r="OFW1" s="530"/>
      <c r="OFX1" s="529"/>
      <c r="OFY1" s="529"/>
      <c r="OFZ1" s="529"/>
      <c r="OGA1" s="529"/>
      <c r="OGB1" s="529"/>
      <c r="OGC1" s="529"/>
      <c r="OGD1" s="529"/>
      <c r="OGE1" s="530"/>
      <c r="OGF1" s="529"/>
      <c r="OGG1" s="529"/>
      <c r="OGH1" s="529"/>
      <c r="OGI1" s="529"/>
      <c r="OGJ1" s="529"/>
      <c r="OGK1" s="529"/>
      <c r="OGL1" s="529"/>
      <c r="OGM1" s="530"/>
      <c r="OGN1" s="529"/>
      <c r="OGO1" s="529"/>
      <c r="OGP1" s="529"/>
      <c r="OGQ1" s="529"/>
      <c r="OGR1" s="529"/>
      <c r="OGS1" s="529"/>
      <c r="OGT1" s="529"/>
      <c r="OGU1" s="530"/>
      <c r="OGV1" s="529"/>
      <c r="OGW1" s="529"/>
      <c r="OGX1" s="529"/>
      <c r="OGY1" s="529"/>
      <c r="OGZ1" s="529"/>
      <c r="OHA1" s="529"/>
      <c r="OHB1" s="529"/>
      <c r="OHC1" s="530"/>
      <c r="OHD1" s="529"/>
      <c r="OHE1" s="529"/>
      <c r="OHF1" s="529"/>
      <c r="OHG1" s="529"/>
      <c r="OHH1" s="529"/>
      <c r="OHI1" s="529"/>
      <c r="OHJ1" s="529"/>
      <c r="OHK1" s="530"/>
      <c r="OHL1" s="529"/>
      <c r="OHM1" s="529"/>
      <c r="OHN1" s="529"/>
      <c r="OHO1" s="529"/>
      <c r="OHP1" s="529"/>
      <c r="OHQ1" s="529"/>
      <c r="OHR1" s="529"/>
      <c r="OHS1" s="530"/>
      <c r="OHT1" s="529"/>
      <c r="OHU1" s="529"/>
      <c r="OHV1" s="529"/>
      <c r="OHW1" s="529"/>
      <c r="OHX1" s="529"/>
      <c r="OHY1" s="529"/>
      <c r="OHZ1" s="529"/>
      <c r="OIA1" s="530"/>
      <c r="OIB1" s="529"/>
      <c r="OIC1" s="529"/>
      <c r="OID1" s="529"/>
      <c r="OIE1" s="529"/>
      <c r="OIF1" s="529"/>
      <c r="OIG1" s="529"/>
      <c r="OIH1" s="529"/>
      <c r="OII1" s="530"/>
      <c r="OIJ1" s="529"/>
      <c r="OIK1" s="529"/>
      <c r="OIL1" s="529"/>
      <c r="OIM1" s="529"/>
      <c r="OIN1" s="529"/>
      <c r="OIO1" s="529"/>
      <c r="OIP1" s="529"/>
      <c r="OIQ1" s="530"/>
      <c r="OIR1" s="529"/>
      <c r="OIS1" s="529"/>
      <c r="OIT1" s="529"/>
      <c r="OIU1" s="529"/>
      <c r="OIV1" s="529"/>
      <c r="OIW1" s="529"/>
      <c r="OIX1" s="529"/>
      <c r="OIY1" s="530"/>
      <c r="OIZ1" s="529"/>
      <c r="OJA1" s="529"/>
      <c r="OJB1" s="529"/>
      <c r="OJC1" s="529"/>
      <c r="OJD1" s="529"/>
      <c r="OJE1" s="529"/>
      <c r="OJF1" s="529"/>
      <c r="OJG1" s="530"/>
      <c r="OJH1" s="529"/>
      <c r="OJI1" s="529"/>
      <c r="OJJ1" s="529"/>
      <c r="OJK1" s="529"/>
      <c r="OJL1" s="529"/>
      <c r="OJM1" s="529"/>
      <c r="OJN1" s="529"/>
      <c r="OJO1" s="530"/>
      <c r="OJP1" s="529"/>
      <c r="OJQ1" s="529"/>
      <c r="OJR1" s="529"/>
      <c r="OJS1" s="529"/>
      <c r="OJT1" s="529"/>
      <c r="OJU1" s="529"/>
      <c r="OJV1" s="529"/>
      <c r="OJW1" s="530"/>
      <c r="OJX1" s="529"/>
      <c r="OJY1" s="529"/>
      <c r="OJZ1" s="529"/>
      <c r="OKA1" s="529"/>
      <c r="OKB1" s="529"/>
      <c r="OKC1" s="529"/>
      <c r="OKD1" s="529"/>
      <c r="OKE1" s="530"/>
      <c r="OKF1" s="529"/>
      <c r="OKG1" s="529"/>
      <c r="OKH1" s="529"/>
      <c r="OKI1" s="529"/>
      <c r="OKJ1" s="529"/>
      <c r="OKK1" s="529"/>
      <c r="OKL1" s="529"/>
      <c r="OKM1" s="530"/>
      <c r="OKN1" s="529"/>
      <c r="OKO1" s="529"/>
      <c r="OKP1" s="529"/>
      <c r="OKQ1" s="529"/>
      <c r="OKR1" s="529"/>
      <c r="OKS1" s="529"/>
      <c r="OKT1" s="529"/>
      <c r="OKU1" s="530"/>
      <c r="OKV1" s="529"/>
      <c r="OKW1" s="529"/>
      <c r="OKX1" s="529"/>
      <c r="OKY1" s="529"/>
      <c r="OKZ1" s="529"/>
      <c r="OLA1" s="529"/>
      <c r="OLB1" s="529"/>
      <c r="OLC1" s="530"/>
      <c r="OLD1" s="529"/>
      <c r="OLE1" s="529"/>
      <c r="OLF1" s="529"/>
      <c r="OLG1" s="529"/>
      <c r="OLH1" s="529"/>
      <c r="OLI1" s="529"/>
      <c r="OLJ1" s="529"/>
      <c r="OLK1" s="530"/>
      <c r="OLL1" s="529"/>
      <c r="OLM1" s="529"/>
      <c r="OLN1" s="529"/>
      <c r="OLO1" s="529"/>
      <c r="OLP1" s="529"/>
      <c r="OLQ1" s="529"/>
      <c r="OLR1" s="529"/>
      <c r="OLS1" s="530"/>
      <c r="OLT1" s="529"/>
      <c r="OLU1" s="529"/>
      <c r="OLV1" s="529"/>
      <c r="OLW1" s="529"/>
      <c r="OLX1" s="529"/>
      <c r="OLY1" s="529"/>
      <c r="OLZ1" s="529"/>
      <c r="OMA1" s="530"/>
      <c r="OMB1" s="529"/>
      <c r="OMC1" s="529"/>
      <c r="OMD1" s="529"/>
      <c r="OME1" s="529"/>
      <c r="OMF1" s="529"/>
      <c r="OMG1" s="529"/>
      <c r="OMH1" s="529"/>
      <c r="OMI1" s="530"/>
      <c r="OMJ1" s="529"/>
      <c r="OMK1" s="529"/>
      <c r="OML1" s="529"/>
      <c r="OMM1" s="529"/>
      <c r="OMN1" s="529"/>
      <c r="OMO1" s="529"/>
      <c r="OMP1" s="529"/>
      <c r="OMQ1" s="530"/>
      <c r="OMR1" s="529"/>
      <c r="OMS1" s="529"/>
      <c r="OMT1" s="529"/>
      <c r="OMU1" s="529"/>
      <c r="OMV1" s="529"/>
      <c r="OMW1" s="529"/>
      <c r="OMX1" s="529"/>
      <c r="OMY1" s="530"/>
      <c r="OMZ1" s="529"/>
      <c r="ONA1" s="529"/>
      <c r="ONB1" s="529"/>
      <c r="ONC1" s="529"/>
      <c r="OND1" s="529"/>
      <c r="ONE1" s="529"/>
      <c r="ONF1" s="529"/>
      <c r="ONG1" s="530"/>
      <c r="ONH1" s="529"/>
      <c r="ONI1" s="529"/>
      <c r="ONJ1" s="529"/>
      <c r="ONK1" s="529"/>
      <c r="ONL1" s="529"/>
      <c r="ONM1" s="529"/>
      <c r="ONN1" s="529"/>
      <c r="ONO1" s="530"/>
      <c r="ONP1" s="529"/>
      <c r="ONQ1" s="529"/>
      <c r="ONR1" s="529"/>
      <c r="ONS1" s="529"/>
      <c r="ONT1" s="529"/>
      <c r="ONU1" s="529"/>
      <c r="ONV1" s="529"/>
      <c r="ONW1" s="530"/>
      <c r="ONX1" s="529"/>
      <c r="ONY1" s="529"/>
      <c r="ONZ1" s="529"/>
      <c r="OOA1" s="529"/>
      <c r="OOB1" s="529"/>
      <c r="OOC1" s="529"/>
      <c r="OOD1" s="529"/>
      <c r="OOE1" s="530"/>
      <c r="OOF1" s="529"/>
      <c r="OOG1" s="529"/>
      <c r="OOH1" s="529"/>
      <c r="OOI1" s="529"/>
      <c r="OOJ1" s="529"/>
      <c r="OOK1" s="529"/>
      <c r="OOL1" s="529"/>
      <c r="OOM1" s="530"/>
      <c r="OON1" s="529"/>
      <c r="OOO1" s="529"/>
      <c r="OOP1" s="529"/>
      <c r="OOQ1" s="529"/>
      <c r="OOR1" s="529"/>
      <c r="OOS1" s="529"/>
      <c r="OOT1" s="529"/>
      <c r="OOU1" s="530"/>
      <c r="OOV1" s="529"/>
      <c r="OOW1" s="529"/>
      <c r="OOX1" s="529"/>
      <c r="OOY1" s="529"/>
      <c r="OOZ1" s="529"/>
      <c r="OPA1" s="529"/>
      <c r="OPB1" s="529"/>
      <c r="OPC1" s="530"/>
      <c r="OPD1" s="529"/>
      <c r="OPE1" s="529"/>
      <c r="OPF1" s="529"/>
      <c r="OPG1" s="529"/>
      <c r="OPH1" s="529"/>
      <c r="OPI1" s="529"/>
      <c r="OPJ1" s="529"/>
      <c r="OPK1" s="530"/>
      <c r="OPL1" s="529"/>
      <c r="OPM1" s="529"/>
      <c r="OPN1" s="529"/>
      <c r="OPO1" s="529"/>
      <c r="OPP1" s="529"/>
      <c r="OPQ1" s="529"/>
      <c r="OPR1" s="529"/>
      <c r="OPS1" s="530"/>
      <c r="OPT1" s="529"/>
      <c r="OPU1" s="529"/>
      <c r="OPV1" s="529"/>
      <c r="OPW1" s="529"/>
      <c r="OPX1" s="529"/>
      <c r="OPY1" s="529"/>
      <c r="OPZ1" s="529"/>
      <c r="OQA1" s="530"/>
      <c r="OQB1" s="529"/>
      <c r="OQC1" s="529"/>
      <c r="OQD1" s="529"/>
      <c r="OQE1" s="529"/>
      <c r="OQF1" s="529"/>
      <c r="OQG1" s="529"/>
      <c r="OQH1" s="529"/>
      <c r="OQI1" s="530"/>
      <c r="OQJ1" s="529"/>
      <c r="OQK1" s="529"/>
      <c r="OQL1" s="529"/>
      <c r="OQM1" s="529"/>
      <c r="OQN1" s="529"/>
      <c r="OQO1" s="529"/>
      <c r="OQP1" s="529"/>
      <c r="OQQ1" s="530"/>
      <c r="OQR1" s="529"/>
      <c r="OQS1" s="529"/>
      <c r="OQT1" s="529"/>
      <c r="OQU1" s="529"/>
      <c r="OQV1" s="529"/>
      <c r="OQW1" s="529"/>
      <c r="OQX1" s="529"/>
      <c r="OQY1" s="530"/>
      <c r="OQZ1" s="529"/>
      <c r="ORA1" s="529"/>
      <c r="ORB1" s="529"/>
      <c r="ORC1" s="529"/>
      <c r="ORD1" s="529"/>
      <c r="ORE1" s="529"/>
      <c r="ORF1" s="529"/>
      <c r="ORG1" s="530"/>
      <c r="ORH1" s="529"/>
      <c r="ORI1" s="529"/>
      <c r="ORJ1" s="529"/>
      <c r="ORK1" s="529"/>
      <c r="ORL1" s="529"/>
      <c r="ORM1" s="529"/>
      <c r="ORN1" s="529"/>
      <c r="ORO1" s="530"/>
      <c r="ORP1" s="529"/>
      <c r="ORQ1" s="529"/>
      <c r="ORR1" s="529"/>
      <c r="ORS1" s="529"/>
      <c r="ORT1" s="529"/>
      <c r="ORU1" s="529"/>
      <c r="ORV1" s="529"/>
      <c r="ORW1" s="530"/>
      <c r="ORX1" s="529"/>
      <c r="ORY1" s="529"/>
      <c r="ORZ1" s="529"/>
      <c r="OSA1" s="529"/>
      <c r="OSB1" s="529"/>
      <c r="OSC1" s="529"/>
      <c r="OSD1" s="529"/>
      <c r="OSE1" s="530"/>
      <c r="OSF1" s="529"/>
      <c r="OSG1" s="529"/>
      <c r="OSH1" s="529"/>
      <c r="OSI1" s="529"/>
      <c r="OSJ1" s="529"/>
      <c r="OSK1" s="529"/>
      <c r="OSL1" s="529"/>
      <c r="OSM1" s="530"/>
      <c r="OSN1" s="529"/>
      <c r="OSO1" s="529"/>
      <c r="OSP1" s="529"/>
      <c r="OSQ1" s="529"/>
      <c r="OSR1" s="529"/>
      <c r="OSS1" s="529"/>
      <c r="OST1" s="529"/>
      <c r="OSU1" s="530"/>
      <c r="OSV1" s="529"/>
      <c r="OSW1" s="529"/>
      <c r="OSX1" s="529"/>
      <c r="OSY1" s="529"/>
      <c r="OSZ1" s="529"/>
      <c r="OTA1" s="529"/>
      <c r="OTB1" s="529"/>
      <c r="OTC1" s="530"/>
      <c r="OTD1" s="529"/>
      <c r="OTE1" s="529"/>
      <c r="OTF1" s="529"/>
      <c r="OTG1" s="529"/>
      <c r="OTH1" s="529"/>
      <c r="OTI1" s="529"/>
      <c r="OTJ1" s="529"/>
      <c r="OTK1" s="530"/>
      <c r="OTL1" s="529"/>
      <c r="OTM1" s="529"/>
      <c r="OTN1" s="529"/>
      <c r="OTO1" s="529"/>
      <c r="OTP1" s="529"/>
      <c r="OTQ1" s="529"/>
      <c r="OTR1" s="529"/>
      <c r="OTS1" s="530"/>
      <c r="OTT1" s="529"/>
      <c r="OTU1" s="529"/>
      <c r="OTV1" s="529"/>
      <c r="OTW1" s="529"/>
      <c r="OTX1" s="529"/>
      <c r="OTY1" s="529"/>
      <c r="OTZ1" s="529"/>
      <c r="OUA1" s="530"/>
      <c r="OUB1" s="529"/>
      <c r="OUC1" s="529"/>
      <c r="OUD1" s="529"/>
      <c r="OUE1" s="529"/>
      <c r="OUF1" s="529"/>
      <c r="OUG1" s="529"/>
      <c r="OUH1" s="529"/>
      <c r="OUI1" s="530"/>
      <c r="OUJ1" s="529"/>
      <c r="OUK1" s="529"/>
      <c r="OUL1" s="529"/>
      <c r="OUM1" s="529"/>
      <c r="OUN1" s="529"/>
      <c r="OUO1" s="529"/>
      <c r="OUP1" s="529"/>
      <c r="OUQ1" s="530"/>
      <c r="OUR1" s="529"/>
      <c r="OUS1" s="529"/>
      <c r="OUT1" s="529"/>
      <c r="OUU1" s="529"/>
      <c r="OUV1" s="529"/>
      <c r="OUW1" s="529"/>
      <c r="OUX1" s="529"/>
      <c r="OUY1" s="530"/>
      <c r="OUZ1" s="529"/>
      <c r="OVA1" s="529"/>
      <c r="OVB1" s="529"/>
      <c r="OVC1" s="529"/>
      <c r="OVD1" s="529"/>
      <c r="OVE1" s="529"/>
      <c r="OVF1" s="529"/>
      <c r="OVG1" s="530"/>
      <c r="OVH1" s="529"/>
      <c r="OVI1" s="529"/>
      <c r="OVJ1" s="529"/>
      <c r="OVK1" s="529"/>
      <c r="OVL1" s="529"/>
      <c r="OVM1" s="529"/>
      <c r="OVN1" s="529"/>
      <c r="OVO1" s="530"/>
      <c r="OVP1" s="529"/>
      <c r="OVQ1" s="529"/>
      <c r="OVR1" s="529"/>
      <c r="OVS1" s="529"/>
      <c r="OVT1" s="529"/>
      <c r="OVU1" s="529"/>
      <c r="OVV1" s="529"/>
      <c r="OVW1" s="530"/>
      <c r="OVX1" s="529"/>
      <c r="OVY1" s="529"/>
      <c r="OVZ1" s="529"/>
      <c r="OWA1" s="529"/>
      <c r="OWB1" s="529"/>
      <c r="OWC1" s="529"/>
      <c r="OWD1" s="529"/>
      <c r="OWE1" s="530"/>
      <c r="OWF1" s="529"/>
      <c r="OWG1" s="529"/>
      <c r="OWH1" s="529"/>
      <c r="OWI1" s="529"/>
      <c r="OWJ1" s="529"/>
      <c r="OWK1" s="529"/>
      <c r="OWL1" s="529"/>
      <c r="OWM1" s="530"/>
      <c r="OWN1" s="529"/>
      <c r="OWO1" s="529"/>
      <c r="OWP1" s="529"/>
      <c r="OWQ1" s="529"/>
      <c r="OWR1" s="529"/>
      <c r="OWS1" s="529"/>
      <c r="OWT1" s="529"/>
      <c r="OWU1" s="530"/>
      <c r="OWV1" s="529"/>
      <c r="OWW1" s="529"/>
      <c r="OWX1" s="529"/>
      <c r="OWY1" s="529"/>
      <c r="OWZ1" s="529"/>
      <c r="OXA1" s="529"/>
      <c r="OXB1" s="529"/>
      <c r="OXC1" s="530"/>
      <c r="OXD1" s="529"/>
      <c r="OXE1" s="529"/>
      <c r="OXF1" s="529"/>
      <c r="OXG1" s="529"/>
      <c r="OXH1" s="529"/>
      <c r="OXI1" s="529"/>
      <c r="OXJ1" s="529"/>
      <c r="OXK1" s="530"/>
      <c r="OXL1" s="529"/>
      <c r="OXM1" s="529"/>
      <c r="OXN1" s="529"/>
      <c r="OXO1" s="529"/>
      <c r="OXP1" s="529"/>
      <c r="OXQ1" s="529"/>
      <c r="OXR1" s="529"/>
      <c r="OXS1" s="530"/>
      <c r="OXT1" s="529"/>
      <c r="OXU1" s="529"/>
      <c r="OXV1" s="529"/>
      <c r="OXW1" s="529"/>
      <c r="OXX1" s="529"/>
      <c r="OXY1" s="529"/>
      <c r="OXZ1" s="529"/>
      <c r="OYA1" s="530"/>
      <c r="OYB1" s="529"/>
      <c r="OYC1" s="529"/>
      <c r="OYD1" s="529"/>
      <c r="OYE1" s="529"/>
      <c r="OYF1" s="529"/>
      <c r="OYG1" s="529"/>
      <c r="OYH1" s="529"/>
      <c r="OYI1" s="530"/>
      <c r="OYJ1" s="529"/>
      <c r="OYK1" s="529"/>
      <c r="OYL1" s="529"/>
      <c r="OYM1" s="529"/>
      <c r="OYN1" s="529"/>
      <c r="OYO1" s="529"/>
      <c r="OYP1" s="529"/>
      <c r="OYQ1" s="530"/>
      <c r="OYR1" s="529"/>
      <c r="OYS1" s="529"/>
      <c r="OYT1" s="529"/>
      <c r="OYU1" s="529"/>
      <c r="OYV1" s="529"/>
      <c r="OYW1" s="529"/>
      <c r="OYX1" s="529"/>
      <c r="OYY1" s="530"/>
      <c r="OYZ1" s="529"/>
      <c r="OZA1" s="529"/>
      <c r="OZB1" s="529"/>
      <c r="OZC1" s="529"/>
      <c r="OZD1" s="529"/>
      <c r="OZE1" s="529"/>
      <c r="OZF1" s="529"/>
      <c r="OZG1" s="530"/>
      <c r="OZH1" s="529"/>
      <c r="OZI1" s="529"/>
      <c r="OZJ1" s="529"/>
      <c r="OZK1" s="529"/>
      <c r="OZL1" s="529"/>
      <c r="OZM1" s="529"/>
      <c r="OZN1" s="529"/>
      <c r="OZO1" s="530"/>
      <c r="OZP1" s="529"/>
      <c r="OZQ1" s="529"/>
      <c r="OZR1" s="529"/>
      <c r="OZS1" s="529"/>
      <c r="OZT1" s="529"/>
      <c r="OZU1" s="529"/>
      <c r="OZV1" s="529"/>
      <c r="OZW1" s="530"/>
      <c r="OZX1" s="529"/>
      <c r="OZY1" s="529"/>
      <c r="OZZ1" s="529"/>
      <c r="PAA1" s="529"/>
      <c r="PAB1" s="529"/>
      <c r="PAC1" s="529"/>
      <c r="PAD1" s="529"/>
      <c r="PAE1" s="530"/>
      <c r="PAF1" s="529"/>
      <c r="PAG1" s="529"/>
      <c r="PAH1" s="529"/>
      <c r="PAI1" s="529"/>
      <c r="PAJ1" s="529"/>
      <c r="PAK1" s="529"/>
      <c r="PAL1" s="529"/>
      <c r="PAM1" s="530"/>
      <c r="PAN1" s="529"/>
      <c r="PAO1" s="529"/>
      <c r="PAP1" s="529"/>
      <c r="PAQ1" s="529"/>
      <c r="PAR1" s="529"/>
      <c r="PAS1" s="529"/>
      <c r="PAT1" s="529"/>
      <c r="PAU1" s="530"/>
      <c r="PAV1" s="529"/>
      <c r="PAW1" s="529"/>
      <c r="PAX1" s="529"/>
      <c r="PAY1" s="529"/>
      <c r="PAZ1" s="529"/>
      <c r="PBA1" s="529"/>
      <c r="PBB1" s="529"/>
      <c r="PBC1" s="530"/>
      <c r="PBD1" s="529"/>
      <c r="PBE1" s="529"/>
      <c r="PBF1" s="529"/>
      <c r="PBG1" s="529"/>
      <c r="PBH1" s="529"/>
      <c r="PBI1" s="529"/>
      <c r="PBJ1" s="529"/>
      <c r="PBK1" s="530"/>
      <c r="PBL1" s="529"/>
      <c r="PBM1" s="529"/>
      <c r="PBN1" s="529"/>
      <c r="PBO1" s="529"/>
      <c r="PBP1" s="529"/>
      <c r="PBQ1" s="529"/>
      <c r="PBR1" s="529"/>
      <c r="PBS1" s="530"/>
      <c r="PBT1" s="529"/>
      <c r="PBU1" s="529"/>
      <c r="PBV1" s="529"/>
      <c r="PBW1" s="529"/>
      <c r="PBX1" s="529"/>
      <c r="PBY1" s="529"/>
      <c r="PBZ1" s="529"/>
      <c r="PCA1" s="530"/>
      <c r="PCB1" s="529"/>
      <c r="PCC1" s="529"/>
      <c r="PCD1" s="529"/>
      <c r="PCE1" s="529"/>
      <c r="PCF1" s="529"/>
      <c r="PCG1" s="529"/>
      <c r="PCH1" s="529"/>
      <c r="PCI1" s="530"/>
      <c r="PCJ1" s="529"/>
      <c r="PCK1" s="529"/>
      <c r="PCL1" s="529"/>
      <c r="PCM1" s="529"/>
      <c r="PCN1" s="529"/>
      <c r="PCO1" s="529"/>
      <c r="PCP1" s="529"/>
      <c r="PCQ1" s="530"/>
      <c r="PCR1" s="529"/>
      <c r="PCS1" s="529"/>
      <c r="PCT1" s="529"/>
      <c r="PCU1" s="529"/>
      <c r="PCV1" s="529"/>
      <c r="PCW1" s="529"/>
      <c r="PCX1" s="529"/>
      <c r="PCY1" s="530"/>
      <c r="PCZ1" s="529"/>
      <c r="PDA1" s="529"/>
      <c r="PDB1" s="529"/>
      <c r="PDC1" s="529"/>
      <c r="PDD1" s="529"/>
      <c r="PDE1" s="529"/>
      <c r="PDF1" s="529"/>
      <c r="PDG1" s="530"/>
      <c r="PDH1" s="529"/>
      <c r="PDI1" s="529"/>
      <c r="PDJ1" s="529"/>
      <c r="PDK1" s="529"/>
      <c r="PDL1" s="529"/>
      <c r="PDM1" s="529"/>
      <c r="PDN1" s="529"/>
      <c r="PDO1" s="530"/>
      <c r="PDP1" s="529"/>
      <c r="PDQ1" s="529"/>
      <c r="PDR1" s="529"/>
      <c r="PDS1" s="529"/>
      <c r="PDT1" s="529"/>
      <c r="PDU1" s="529"/>
      <c r="PDV1" s="529"/>
      <c r="PDW1" s="530"/>
      <c r="PDX1" s="529"/>
      <c r="PDY1" s="529"/>
      <c r="PDZ1" s="529"/>
      <c r="PEA1" s="529"/>
      <c r="PEB1" s="529"/>
      <c r="PEC1" s="529"/>
      <c r="PED1" s="529"/>
      <c r="PEE1" s="530"/>
      <c r="PEF1" s="529"/>
      <c r="PEG1" s="529"/>
      <c r="PEH1" s="529"/>
      <c r="PEI1" s="529"/>
      <c r="PEJ1" s="529"/>
      <c r="PEK1" s="529"/>
      <c r="PEL1" s="529"/>
      <c r="PEM1" s="530"/>
      <c r="PEN1" s="529"/>
      <c r="PEO1" s="529"/>
      <c r="PEP1" s="529"/>
      <c r="PEQ1" s="529"/>
      <c r="PER1" s="529"/>
      <c r="PES1" s="529"/>
      <c r="PET1" s="529"/>
      <c r="PEU1" s="530"/>
      <c r="PEV1" s="529"/>
      <c r="PEW1" s="529"/>
      <c r="PEX1" s="529"/>
      <c r="PEY1" s="529"/>
      <c r="PEZ1" s="529"/>
      <c r="PFA1" s="529"/>
      <c r="PFB1" s="529"/>
      <c r="PFC1" s="530"/>
      <c r="PFD1" s="529"/>
      <c r="PFE1" s="529"/>
      <c r="PFF1" s="529"/>
      <c r="PFG1" s="529"/>
      <c r="PFH1" s="529"/>
      <c r="PFI1" s="529"/>
      <c r="PFJ1" s="529"/>
      <c r="PFK1" s="530"/>
      <c r="PFL1" s="529"/>
      <c r="PFM1" s="529"/>
      <c r="PFN1" s="529"/>
      <c r="PFO1" s="529"/>
      <c r="PFP1" s="529"/>
      <c r="PFQ1" s="529"/>
      <c r="PFR1" s="529"/>
      <c r="PFS1" s="530"/>
      <c r="PFT1" s="529"/>
      <c r="PFU1" s="529"/>
      <c r="PFV1" s="529"/>
      <c r="PFW1" s="529"/>
      <c r="PFX1" s="529"/>
      <c r="PFY1" s="529"/>
      <c r="PFZ1" s="529"/>
      <c r="PGA1" s="530"/>
      <c r="PGB1" s="529"/>
      <c r="PGC1" s="529"/>
      <c r="PGD1" s="529"/>
      <c r="PGE1" s="529"/>
      <c r="PGF1" s="529"/>
      <c r="PGG1" s="529"/>
      <c r="PGH1" s="529"/>
      <c r="PGI1" s="530"/>
      <c r="PGJ1" s="529"/>
      <c r="PGK1" s="529"/>
      <c r="PGL1" s="529"/>
      <c r="PGM1" s="529"/>
      <c r="PGN1" s="529"/>
      <c r="PGO1" s="529"/>
      <c r="PGP1" s="529"/>
      <c r="PGQ1" s="530"/>
      <c r="PGR1" s="529"/>
      <c r="PGS1" s="529"/>
      <c r="PGT1" s="529"/>
      <c r="PGU1" s="529"/>
      <c r="PGV1" s="529"/>
      <c r="PGW1" s="529"/>
      <c r="PGX1" s="529"/>
      <c r="PGY1" s="530"/>
      <c r="PGZ1" s="529"/>
      <c r="PHA1" s="529"/>
      <c r="PHB1" s="529"/>
      <c r="PHC1" s="529"/>
      <c r="PHD1" s="529"/>
      <c r="PHE1" s="529"/>
      <c r="PHF1" s="529"/>
      <c r="PHG1" s="530"/>
      <c r="PHH1" s="529"/>
      <c r="PHI1" s="529"/>
      <c r="PHJ1" s="529"/>
      <c r="PHK1" s="529"/>
      <c r="PHL1" s="529"/>
      <c r="PHM1" s="529"/>
      <c r="PHN1" s="529"/>
      <c r="PHO1" s="530"/>
      <c r="PHP1" s="529"/>
      <c r="PHQ1" s="529"/>
      <c r="PHR1" s="529"/>
      <c r="PHS1" s="529"/>
      <c r="PHT1" s="529"/>
      <c r="PHU1" s="529"/>
      <c r="PHV1" s="529"/>
      <c r="PHW1" s="530"/>
      <c r="PHX1" s="529"/>
      <c r="PHY1" s="529"/>
      <c r="PHZ1" s="529"/>
      <c r="PIA1" s="529"/>
      <c r="PIB1" s="529"/>
      <c r="PIC1" s="529"/>
      <c r="PID1" s="529"/>
      <c r="PIE1" s="530"/>
      <c r="PIF1" s="529"/>
      <c r="PIG1" s="529"/>
      <c r="PIH1" s="529"/>
      <c r="PII1" s="529"/>
      <c r="PIJ1" s="529"/>
      <c r="PIK1" s="529"/>
      <c r="PIL1" s="529"/>
      <c r="PIM1" s="530"/>
      <c r="PIN1" s="529"/>
      <c r="PIO1" s="529"/>
      <c r="PIP1" s="529"/>
      <c r="PIQ1" s="529"/>
      <c r="PIR1" s="529"/>
      <c r="PIS1" s="529"/>
      <c r="PIT1" s="529"/>
      <c r="PIU1" s="530"/>
      <c r="PIV1" s="529"/>
      <c r="PIW1" s="529"/>
      <c r="PIX1" s="529"/>
      <c r="PIY1" s="529"/>
      <c r="PIZ1" s="529"/>
      <c r="PJA1" s="529"/>
      <c r="PJB1" s="529"/>
      <c r="PJC1" s="530"/>
      <c r="PJD1" s="529"/>
      <c r="PJE1" s="529"/>
      <c r="PJF1" s="529"/>
      <c r="PJG1" s="529"/>
      <c r="PJH1" s="529"/>
      <c r="PJI1" s="529"/>
      <c r="PJJ1" s="529"/>
      <c r="PJK1" s="530"/>
      <c r="PJL1" s="529"/>
      <c r="PJM1" s="529"/>
      <c r="PJN1" s="529"/>
      <c r="PJO1" s="529"/>
      <c r="PJP1" s="529"/>
      <c r="PJQ1" s="529"/>
      <c r="PJR1" s="529"/>
      <c r="PJS1" s="530"/>
      <c r="PJT1" s="529"/>
      <c r="PJU1" s="529"/>
      <c r="PJV1" s="529"/>
      <c r="PJW1" s="529"/>
      <c r="PJX1" s="529"/>
      <c r="PJY1" s="529"/>
      <c r="PJZ1" s="529"/>
      <c r="PKA1" s="530"/>
      <c r="PKB1" s="529"/>
      <c r="PKC1" s="529"/>
      <c r="PKD1" s="529"/>
      <c r="PKE1" s="529"/>
      <c r="PKF1" s="529"/>
      <c r="PKG1" s="529"/>
      <c r="PKH1" s="529"/>
      <c r="PKI1" s="530"/>
      <c r="PKJ1" s="529"/>
      <c r="PKK1" s="529"/>
      <c r="PKL1" s="529"/>
      <c r="PKM1" s="529"/>
      <c r="PKN1" s="529"/>
      <c r="PKO1" s="529"/>
      <c r="PKP1" s="529"/>
      <c r="PKQ1" s="530"/>
      <c r="PKR1" s="529"/>
      <c r="PKS1" s="529"/>
      <c r="PKT1" s="529"/>
      <c r="PKU1" s="529"/>
      <c r="PKV1" s="529"/>
      <c r="PKW1" s="529"/>
      <c r="PKX1" s="529"/>
      <c r="PKY1" s="530"/>
      <c r="PKZ1" s="529"/>
      <c r="PLA1" s="529"/>
      <c r="PLB1" s="529"/>
      <c r="PLC1" s="529"/>
      <c r="PLD1" s="529"/>
      <c r="PLE1" s="529"/>
      <c r="PLF1" s="529"/>
      <c r="PLG1" s="530"/>
      <c r="PLH1" s="529"/>
      <c r="PLI1" s="529"/>
      <c r="PLJ1" s="529"/>
      <c r="PLK1" s="529"/>
      <c r="PLL1" s="529"/>
      <c r="PLM1" s="529"/>
      <c r="PLN1" s="529"/>
      <c r="PLO1" s="530"/>
      <c r="PLP1" s="529"/>
      <c r="PLQ1" s="529"/>
      <c r="PLR1" s="529"/>
      <c r="PLS1" s="529"/>
      <c r="PLT1" s="529"/>
      <c r="PLU1" s="529"/>
      <c r="PLV1" s="529"/>
      <c r="PLW1" s="530"/>
      <c r="PLX1" s="529"/>
      <c r="PLY1" s="529"/>
      <c r="PLZ1" s="529"/>
      <c r="PMA1" s="529"/>
      <c r="PMB1" s="529"/>
      <c r="PMC1" s="529"/>
      <c r="PMD1" s="529"/>
      <c r="PME1" s="530"/>
      <c r="PMF1" s="529"/>
      <c r="PMG1" s="529"/>
      <c r="PMH1" s="529"/>
      <c r="PMI1" s="529"/>
      <c r="PMJ1" s="529"/>
      <c r="PMK1" s="529"/>
      <c r="PML1" s="529"/>
      <c r="PMM1" s="530"/>
      <c r="PMN1" s="529"/>
      <c r="PMO1" s="529"/>
      <c r="PMP1" s="529"/>
      <c r="PMQ1" s="529"/>
      <c r="PMR1" s="529"/>
      <c r="PMS1" s="529"/>
      <c r="PMT1" s="529"/>
      <c r="PMU1" s="530"/>
      <c r="PMV1" s="529"/>
      <c r="PMW1" s="529"/>
      <c r="PMX1" s="529"/>
      <c r="PMY1" s="529"/>
      <c r="PMZ1" s="529"/>
      <c r="PNA1" s="529"/>
      <c r="PNB1" s="529"/>
      <c r="PNC1" s="530"/>
      <c r="PND1" s="529"/>
      <c r="PNE1" s="529"/>
      <c r="PNF1" s="529"/>
      <c r="PNG1" s="529"/>
      <c r="PNH1" s="529"/>
      <c r="PNI1" s="529"/>
      <c r="PNJ1" s="529"/>
      <c r="PNK1" s="530"/>
      <c r="PNL1" s="529"/>
      <c r="PNM1" s="529"/>
      <c r="PNN1" s="529"/>
      <c r="PNO1" s="529"/>
      <c r="PNP1" s="529"/>
      <c r="PNQ1" s="529"/>
      <c r="PNR1" s="529"/>
      <c r="PNS1" s="530"/>
      <c r="PNT1" s="529"/>
      <c r="PNU1" s="529"/>
      <c r="PNV1" s="529"/>
      <c r="PNW1" s="529"/>
      <c r="PNX1" s="529"/>
      <c r="PNY1" s="529"/>
      <c r="PNZ1" s="529"/>
      <c r="POA1" s="530"/>
      <c r="POB1" s="529"/>
      <c r="POC1" s="529"/>
      <c r="POD1" s="529"/>
      <c r="POE1" s="529"/>
      <c r="POF1" s="529"/>
      <c r="POG1" s="529"/>
      <c r="POH1" s="529"/>
      <c r="POI1" s="530"/>
      <c r="POJ1" s="529"/>
      <c r="POK1" s="529"/>
      <c r="POL1" s="529"/>
      <c r="POM1" s="529"/>
      <c r="PON1" s="529"/>
      <c r="POO1" s="529"/>
      <c r="POP1" s="529"/>
      <c r="POQ1" s="530"/>
      <c r="POR1" s="529"/>
      <c r="POS1" s="529"/>
      <c r="POT1" s="529"/>
      <c r="POU1" s="529"/>
      <c r="POV1" s="529"/>
      <c r="POW1" s="529"/>
      <c r="POX1" s="529"/>
      <c r="POY1" s="530"/>
      <c r="POZ1" s="529"/>
      <c r="PPA1" s="529"/>
      <c r="PPB1" s="529"/>
      <c r="PPC1" s="529"/>
      <c r="PPD1" s="529"/>
      <c r="PPE1" s="529"/>
      <c r="PPF1" s="529"/>
      <c r="PPG1" s="530"/>
      <c r="PPH1" s="529"/>
      <c r="PPI1" s="529"/>
      <c r="PPJ1" s="529"/>
      <c r="PPK1" s="529"/>
      <c r="PPL1" s="529"/>
      <c r="PPM1" s="529"/>
      <c r="PPN1" s="529"/>
      <c r="PPO1" s="530"/>
      <c r="PPP1" s="529"/>
      <c r="PPQ1" s="529"/>
      <c r="PPR1" s="529"/>
      <c r="PPS1" s="529"/>
      <c r="PPT1" s="529"/>
      <c r="PPU1" s="529"/>
      <c r="PPV1" s="529"/>
      <c r="PPW1" s="530"/>
      <c r="PPX1" s="529"/>
      <c r="PPY1" s="529"/>
      <c r="PPZ1" s="529"/>
      <c r="PQA1" s="529"/>
      <c r="PQB1" s="529"/>
      <c r="PQC1" s="529"/>
      <c r="PQD1" s="529"/>
      <c r="PQE1" s="530"/>
      <c r="PQF1" s="529"/>
      <c r="PQG1" s="529"/>
      <c r="PQH1" s="529"/>
      <c r="PQI1" s="529"/>
      <c r="PQJ1" s="529"/>
      <c r="PQK1" s="529"/>
      <c r="PQL1" s="529"/>
      <c r="PQM1" s="530"/>
      <c r="PQN1" s="529"/>
      <c r="PQO1" s="529"/>
      <c r="PQP1" s="529"/>
      <c r="PQQ1" s="529"/>
      <c r="PQR1" s="529"/>
      <c r="PQS1" s="529"/>
      <c r="PQT1" s="529"/>
      <c r="PQU1" s="530"/>
      <c r="PQV1" s="529"/>
      <c r="PQW1" s="529"/>
      <c r="PQX1" s="529"/>
      <c r="PQY1" s="529"/>
      <c r="PQZ1" s="529"/>
      <c r="PRA1" s="529"/>
      <c r="PRB1" s="529"/>
      <c r="PRC1" s="530"/>
      <c r="PRD1" s="529"/>
      <c r="PRE1" s="529"/>
      <c r="PRF1" s="529"/>
      <c r="PRG1" s="529"/>
      <c r="PRH1" s="529"/>
      <c r="PRI1" s="529"/>
      <c r="PRJ1" s="529"/>
      <c r="PRK1" s="530"/>
      <c r="PRL1" s="529"/>
      <c r="PRM1" s="529"/>
      <c r="PRN1" s="529"/>
      <c r="PRO1" s="529"/>
      <c r="PRP1" s="529"/>
      <c r="PRQ1" s="529"/>
      <c r="PRR1" s="529"/>
      <c r="PRS1" s="530"/>
      <c r="PRT1" s="529"/>
      <c r="PRU1" s="529"/>
      <c r="PRV1" s="529"/>
      <c r="PRW1" s="529"/>
      <c r="PRX1" s="529"/>
      <c r="PRY1" s="529"/>
      <c r="PRZ1" s="529"/>
      <c r="PSA1" s="530"/>
      <c r="PSB1" s="529"/>
      <c r="PSC1" s="529"/>
      <c r="PSD1" s="529"/>
      <c r="PSE1" s="529"/>
      <c r="PSF1" s="529"/>
      <c r="PSG1" s="529"/>
      <c r="PSH1" s="529"/>
      <c r="PSI1" s="530"/>
      <c r="PSJ1" s="529"/>
      <c r="PSK1" s="529"/>
      <c r="PSL1" s="529"/>
      <c r="PSM1" s="529"/>
      <c r="PSN1" s="529"/>
      <c r="PSO1" s="529"/>
      <c r="PSP1" s="529"/>
      <c r="PSQ1" s="530"/>
      <c r="PSR1" s="529"/>
      <c r="PSS1" s="529"/>
      <c r="PST1" s="529"/>
      <c r="PSU1" s="529"/>
      <c r="PSV1" s="529"/>
      <c r="PSW1" s="529"/>
      <c r="PSX1" s="529"/>
      <c r="PSY1" s="530"/>
      <c r="PSZ1" s="529"/>
      <c r="PTA1" s="529"/>
      <c r="PTB1" s="529"/>
      <c r="PTC1" s="529"/>
      <c r="PTD1" s="529"/>
      <c r="PTE1" s="529"/>
      <c r="PTF1" s="529"/>
      <c r="PTG1" s="530"/>
      <c r="PTH1" s="529"/>
      <c r="PTI1" s="529"/>
      <c r="PTJ1" s="529"/>
      <c r="PTK1" s="529"/>
      <c r="PTL1" s="529"/>
      <c r="PTM1" s="529"/>
      <c r="PTN1" s="529"/>
      <c r="PTO1" s="530"/>
      <c r="PTP1" s="529"/>
      <c r="PTQ1" s="529"/>
      <c r="PTR1" s="529"/>
      <c r="PTS1" s="529"/>
      <c r="PTT1" s="529"/>
      <c r="PTU1" s="529"/>
      <c r="PTV1" s="529"/>
      <c r="PTW1" s="530"/>
      <c r="PTX1" s="529"/>
      <c r="PTY1" s="529"/>
      <c r="PTZ1" s="529"/>
      <c r="PUA1" s="529"/>
      <c r="PUB1" s="529"/>
      <c r="PUC1" s="529"/>
      <c r="PUD1" s="529"/>
      <c r="PUE1" s="530"/>
      <c r="PUF1" s="529"/>
      <c r="PUG1" s="529"/>
      <c r="PUH1" s="529"/>
      <c r="PUI1" s="529"/>
      <c r="PUJ1" s="529"/>
      <c r="PUK1" s="529"/>
      <c r="PUL1" s="529"/>
      <c r="PUM1" s="530"/>
      <c r="PUN1" s="529"/>
      <c r="PUO1" s="529"/>
      <c r="PUP1" s="529"/>
      <c r="PUQ1" s="529"/>
      <c r="PUR1" s="529"/>
      <c r="PUS1" s="529"/>
      <c r="PUT1" s="529"/>
      <c r="PUU1" s="530"/>
      <c r="PUV1" s="529"/>
      <c r="PUW1" s="529"/>
      <c r="PUX1" s="529"/>
      <c r="PUY1" s="529"/>
      <c r="PUZ1" s="529"/>
      <c r="PVA1" s="529"/>
      <c r="PVB1" s="529"/>
      <c r="PVC1" s="530"/>
      <c r="PVD1" s="529"/>
      <c r="PVE1" s="529"/>
      <c r="PVF1" s="529"/>
      <c r="PVG1" s="529"/>
      <c r="PVH1" s="529"/>
      <c r="PVI1" s="529"/>
      <c r="PVJ1" s="529"/>
      <c r="PVK1" s="530"/>
      <c r="PVL1" s="529"/>
      <c r="PVM1" s="529"/>
      <c r="PVN1" s="529"/>
      <c r="PVO1" s="529"/>
      <c r="PVP1" s="529"/>
      <c r="PVQ1" s="529"/>
      <c r="PVR1" s="529"/>
      <c r="PVS1" s="530"/>
      <c r="PVT1" s="529"/>
      <c r="PVU1" s="529"/>
      <c r="PVV1" s="529"/>
      <c r="PVW1" s="529"/>
      <c r="PVX1" s="529"/>
      <c r="PVY1" s="529"/>
      <c r="PVZ1" s="529"/>
      <c r="PWA1" s="530"/>
      <c r="PWB1" s="529"/>
      <c r="PWC1" s="529"/>
      <c r="PWD1" s="529"/>
      <c r="PWE1" s="529"/>
      <c r="PWF1" s="529"/>
      <c r="PWG1" s="529"/>
      <c r="PWH1" s="529"/>
      <c r="PWI1" s="530"/>
      <c r="PWJ1" s="529"/>
      <c r="PWK1" s="529"/>
      <c r="PWL1" s="529"/>
      <c r="PWM1" s="529"/>
      <c r="PWN1" s="529"/>
      <c r="PWO1" s="529"/>
      <c r="PWP1" s="529"/>
      <c r="PWQ1" s="530"/>
      <c r="PWR1" s="529"/>
      <c r="PWS1" s="529"/>
      <c r="PWT1" s="529"/>
      <c r="PWU1" s="529"/>
      <c r="PWV1" s="529"/>
      <c r="PWW1" s="529"/>
      <c r="PWX1" s="529"/>
      <c r="PWY1" s="530"/>
      <c r="PWZ1" s="529"/>
      <c r="PXA1" s="529"/>
      <c r="PXB1" s="529"/>
      <c r="PXC1" s="529"/>
      <c r="PXD1" s="529"/>
      <c r="PXE1" s="529"/>
      <c r="PXF1" s="529"/>
      <c r="PXG1" s="530"/>
      <c r="PXH1" s="529"/>
      <c r="PXI1" s="529"/>
      <c r="PXJ1" s="529"/>
      <c r="PXK1" s="529"/>
      <c r="PXL1" s="529"/>
      <c r="PXM1" s="529"/>
      <c r="PXN1" s="529"/>
      <c r="PXO1" s="530"/>
      <c r="PXP1" s="529"/>
      <c r="PXQ1" s="529"/>
      <c r="PXR1" s="529"/>
      <c r="PXS1" s="529"/>
      <c r="PXT1" s="529"/>
      <c r="PXU1" s="529"/>
      <c r="PXV1" s="529"/>
      <c r="PXW1" s="530"/>
      <c r="PXX1" s="529"/>
      <c r="PXY1" s="529"/>
      <c r="PXZ1" s="529"/>
      <c r="PYA1" s="529"/>
      <c r="PYB1" s="529"/>
      <c r="PYC1" s="529"/>
      <c r="PYD1" s="529"/>
      <c r="PYE1" s="530"/>
      <c r="PYF1" s="529"/>
      <c r="PYG1" s="529"/>
      <c r="PYH1" s="529"/>
      <c r="PYI1" s="529"/>
      <c r="PYJ1" s="529"/>
      <c r="PYK1" s="529"/>
      <c r="PYL1" s="529"/>
      <c r="PYM1" s="530"/>
      <c r="PYN1" s="529"/>
      <c r="PYO1" s="529"/>
      <c r="PYP1" s="529"/>
      <c r="PYQ1" s="529"/>
      <c r="PYR1" s="529"/>
      <c r="PYS1" s="529"/>
      <c r="PYT1" s="529"/>
      <c r="PYU1" s="530"/>
      <c r="PYV1" s="529"/>
      <c r="PYW1" s="529"/>
      <c r="PYX1" s="529"/>
      <c r="PYY1" s="529"/>
      <c r="PYZ1" s="529"/>
      <c r="PZA1" s="529"/>
      <c r="PZB1" s="529"/>
      <c r="PZC1" s="530"/>
      <c r="PZD1" s="529"/>
      <c r="PZE1" s="529"/>
      <c r="PZF1" s="529"/>
      <c r="PZG1" s="529"/>
      <c r="PZH1" s="529"/>
      <c r="PZI1" s="529"/>
      <c r="PZJ1" s="529"/>
      <c r="PZK1" s="530"/>
      <c r="PZL1" s="529"/>
      <c r="PZM1" s="529"/>
      <c r="PZN1" s="529"/>
      <c r="PZO1" s="529"/>
      <c r="PZP1" s="529"/>
      <c r="PZQ1" s="529"/>
      <c r="PZR1" s="529"/>
      <c r="PZS1" s="530"/>
      <c r="PZT1" s="529"/>
      <c r="PZU1" s="529"/>
      <c r="PZV1" s="529"/>
      <c r="PZW1" s="529"/>
      <c r="PZX1" s="529"/>
      <c r="PZY1" s="529"/>
      <c r="PZZ1" s="529"/>
      <c r="QAA1" s="530"/>
      <c r="QAB1" s="529"/>
      <c r="QAC1" s="529"/>
      <c r="QAD1" s="529"/>
      <c r="QAE1" s="529"/>
      <c r="QAF1" s="529"/>
      <c r="QAG1" s="529"/>
      <c r="QAH1" s="529"/>
      <c r="QAI1" s="530"/>
      <c r="QAJ1" s="529"/>
      <c r="QAK1" s="529"/>
      <c r="QAL1" s="529"/>
      <c r="QAM1" s="529"/>
      <c r="QAN1" s="529"/>
      <c r="QAO1" s="529"/>
      <c r="QAP1" s="529"/>
      <c r="QAQ1" s="530"/>
      <c r="QAR1" s="529"/>
      <c r="QAS1" s="529"/>
      <c r="QAT1" s="529"/>
      <c r="QAU1" s="529"/>
      <c r="QAV1" s="529"/>
      <c r="QAW1" s="529"/>
      <c r="QAX1" s="529"/>
      <c r="QAY1" s="530"/>
      <c r="QAZ1" s="529"/>
      <c r="QBA1" s="529"/>
      <c r="QBB1" s="529"/>
      <c r="QBC1" s="529"/>
      <c r="QBD1" s="529"/>
      <c r="QBE1" s="529"/>
      <c r="QBF1" s="529"/>
      <c r="QBG1" s="530"/>
      <c r="QBH1" s="529"/>
      <c r="QBI1" s="529"/>
      <c r="QBJ1" s="529"/>
      <c r="QBK1" s="529"/>
      <c r="QBL1" s="529"/>
      <c r="QBM1" s="529"/>
      <c r="QBN1" s="529"/>
      <c r="QBO1" s="530"/>
      <c r="QBP1" s="529"/>
      <c r="QBQ1" s="529"/>
      <c r="QBR1" s="529"/>
      <c r="QBS1" s="529"/>
      <c r="QBT1" s="529"/>
      <c r="QBU1" s="529"/>
      <c r="QBV1" s="529"/>
      <c r="QBW1" s="530"/>
      <c r="QBX1" s="529"/>
      <c r="QBY1" s="529"/>
      <c r="QBZ1" s="529"/>
      <c r="QCA1" s="529"/>
      <c r="QCB1" s="529"/>
      <c r="QCC1" s="529"/>
      <c r="QCD1" s="529"/>
      <c r="QCE1" s="530"/>
      <c r="QCF1" s="529"/>
      <c r="QCG1" s="529"/>
      <c r="QCH1" s="529"/>
      <c r="QCI1" s="529"/>
      <c r="QCJ1" s="529"/>
      <c r="QCK1" s="529"/>
      <c r="QCL1" s="529"/>
      <c r="QCM1" s="530"/>
      <c r="QCN1" s="529"/>
      <c r="QCO1" s="529"/>
      <c r="QCP1" s="529"/>
      <c r="QCQ1" s="529"/>
      <c r="QCR1" s="529"/>
      <c r="QCS1" s="529"/>
      <c r="QCT1" s="529"/>
      <c r="QCU1" s="530"/>
      <c r="QCV1" s="529"/>
      <c r="QCW1" s="529"/>
      <c r="QCX1" s="529"/>
      <c r="QCY1" s="529"/>
      <c r="QCZ1" s="529"/>
      <c r="QDA1" s="529"/>
      <c r="QDB1" s="529"/>
      <c r="QDC1" s="530"/>
      <c r="QDD1" s="529"/>
      <c r="QDE1" s="529"/>
      <c r="QDF1" s="529"/>
      <c r="QDG1" s="529"/>
      <c r="QDH1" s="529"/>
      <c r="QDI1" s="529"/>
      <c r="QDJ1" s="529"/>
      <c r="QDK1" s="530"/>
      <c r="QDL1" s="529"/>
      <c r="QDM1" s="529"/>
      <c r="QDN1" s="529"/>
      <c r="QDO1" s="529"/>
      <c r="QDP1" s="529"/>
      <c r="QDQ1" s="529"/>
      <c r="QDR1" s="529"/>
      <c r="QDS1" s="530"/>
      <c r="QDT1" s="529"/>
      <c r="QDU1" s="529"/>
      <c r="QDV1" s="529"/>
      <c r="QDW1" s="529"/>
      <c r="QDX1" s="529"/>
      <c r="QDY1" s="529"/>
      <c r="QDZ1" s="529"/>
      <c r="QEA1" s="530"/>
      <c r="QEB1" s="529"/>
      <c r="QEC1" s="529"/>
      <c r="QED1" s="529"/>
      <c r="QEE1" s="529"/>
      <c r="QEF1" s="529"/>
      <c r="QEG1" s="529"/>
      <c r="QEH1" s="529"/>
      <c r="QEI1" s="530"/>
      <c r="QEJ1" s="529"/>
      <c r="QEK1" s="529"/>
      <c r="QEL1" s="529"/>
      <c r="QEM1" s="529"/>
      <c r="QEN1" s="529"/>
      <c r="QEO1" s="529"/>
      <c r="QEP1" s="529"/>
      <c r="QEQ1" s="530"/>
      <c r="QER1" s="529"/>
      <c r="QES1" s="529"/>
      <c r="QET1" s="529"/>
      <c r="QEU1" s="529"/>
      <c r="QEV1" s="529"/>
      <c r="QEW1" s="529"/>
      <c r="QEX1" s="529"/>
      <c r="QEY1" s="530"/>
      <c r="QEZ1" s="529"/>
      <c r="QFA1" s="529"/>
      <c r="QFB1" s="529"/>
      <c r="QFC1" s="529"/>
      <c r="QFD1" s="529"/>
      <c r="QFE1" s="529"/>
      <c r="QFF1" s="529"/>
      <c r="QFG1" s="530"/>
      <c r="QFH1" s="529"/>
      <c r="QFI1" s="529"/>
      <c r="QFJ1" s="529"/>
      <c r="QFK1" s="529"/>
      <c r="QFL1" s="529"/>
      <c r="QFM1" s="529"/>
      <c r="QFN1" s="529"/>
      <c r="QFO1" s="530"/>
      <c r="QFP1" s="529"/>
      <c r="QFQ1" s="529"/>
      <c r="QFR1" s="529"/>
      <c r="QFS1" s="529"/>
      <c r="QFT1" s="529"/>
      <c r="QFU1" s="529"/>
      <c r="QFV1" s="529"/>
      <c r="QFW1" s="530"/>
      <c r="QFX1" s="529"/>
      <c r="QFY1" s="529"/>
      <c r="QFZ1" s="529"/>
      <c r="QGA1" s="529"/>
      <c r="QGB1" s="529"/>
      <c r="QGC1" s="529"/>
      <c r="QGD1" s="529"/>
      <c r="QGE1" s="530"/>
      <c r="QGF1" s="529"/>
      <c r="QGG1" s="529"/>
      <c r="QGH1" s="529"/>
      <c r="QGI1" s="529"/>
      <c r="QGJ1" s="529"/>
      <c r="QGK1" s="529"/>
      <c r="QGL1" s="529"/>
      <c r="QGM1" s="530"/>
      <c r="QGN1" s="529"/>
      <c r="QGO1" s="529"/>
      <c r="QGP1" s="529"/>
      <c r="QGQ1" s="529"/>
      <c r="QGR1" s="529"/>
      <c r="QGS1" s="529"/>
      <c r="QGT1" s="529"/>
      <c r="QGU1" s="530"/>
      <c r="QGV1" s="529"/>
      <c r="QGW1" s="529"/>
      <c r="QGX1" s="529"/>
      <c r="QGY1" s="529"/>
      <c r="QGZ1" s="529"/>
      <c r="QHA1" s="529"/>
      <c r="QHB1" s="529"/>
      <c r="QHC1" s="530"/>
      <c r="QHD1" s="529"/>
      <c r="QHE1" s="529"/>
      <c r="QHF1" s="529"/>
      <c r="QHG1" s="529"/>
      <c r="QHH1" s="529"/>
      <c r="QHI1" s="529"/>
      <c r="QHJ1" s="529"/>
      <c r="QHK1" s="530"/>
      <c r="QHL1" s="529"/>
      <c r="QHM1" s="529"/>
      <c r="QHN1" s="529"/>
      <c r="QHO1" s="529"/>
      <c r="QHP1" s="529"/>
      <c r="QHQ1" s="529"/>
      <c r="QHR1" s="529"/>
      <c r="QHS1" s="530"/>
      <c r="QHT1" s="529"/>
      <c r="QHU1" s="529"/>
      <c r="QHV1" s="529"/>
      <c r="QHW1" s="529"/>
      <c r="QHX1" s="529"/>
      <c r="QHY1" s="529"/>
      <c r="QHZ1" s="529"/>
      <c r="QIA1" s="530"/>
      <c r="QIB1" s="529"/>
      <c r="QIC1" s="529"/>
      <c r="QID1" s="529"/>
      <c r="QIE1" s="529"/>
      <c r="QIF1" s="529"/>
      <c r="QIG1" s="529"/>
      <c r="QIH1" s="529"/>
      <c r="QII1" s="530"/>
      <c r="QIJ1" s="529"/>
      <c r="QIK1" s="529"/>
      <c r="QIL1" s="529"/>
      <c r="QIM1" s="529"/>
      <c r="QIN1" s="529"/>
      <c r="QIO1" s="529"/>
      <c r="QIP1" s="529"/>
      <c r="QIQ1" s="530"/>
      <c r="QIR1" s="529"/>
      <c r="QIS1" s="529"/>
      <c r="QIT1" s="529"/>
      <c r="QIU1" s="529"/>
      <c r="QIV1" s="529"/>
      <c r="QIW1" s="529"/>
      <c r="QIX1" s="529"/>
      <c r="QIY1" s="530"/>
      <c r="QIZ1" s="529"/>
      <c r="QJA1" s="529"/>
      <c r="QJB1" s="529"/>
      <c r="QJC1" s="529"/>
      <c r="QJD1" s="529"/>
      <c r="QJE1" s="529"/>
      <c r="QJF1" s="529"/>
      <c r="QJG1" s="530"/>
      <c r="QJH1" s="529"/>
      <c r="QJI1" s="529"/>
      <c r="QJJ1" s="529"/>
      <c r="QJK1" s="529"/>
      <c r="QJL1" s="529"/>
      <c r="QJM1" s="529"/>
      <c r="QJN1" s="529"/>
      <c r="QJO1" s="530"/>
      <c r="QJP1" s="529"/>
      <c r="QJQ1" s="529"/>
      <c r="QJR1" s="529"/>
      <c r="QJS1" s="529"/>
      <c r="QJT1" s="529"/>
      <c r="QJU1" s="529"/>
      <c r="QJV1" s="529"/>
      <c r="QJW1" s="530"/>
      <c r="QJX1" s="529"/>
      <c r="QJY1" s="529"/>
      <c r="QJZ1" s="529"/>
      <c r="QKA1" s="529"/>
      <c r="QKB1" s="529"/>
      <c r="QKC1" s="529"/>
      <c r="QKD1" s="529"/>
      <c r="QKE1" s="530"/>
      <c r="QKF1" s="529"/>
      <c r="QKG1" s="529"/>
      <c r="QKH1" s="529"/>
      <c r="QKI1" s="529"/>
      <c r="QKJ1" s="529"/>
      <c r="QKK1" s="529"/>
      <c r="QKL1" s="529"/>
      <c r="QKM1" s="530"/>
      <c r="QKN1" s="529"/>
      <c r="QKO1" s="529"/>
      <c r="QKP1" s="529"/>
      <c r="QKQ1" s="529"/>
      <c r="QKR1" s="529"/>
      <c r="QKS1" s="529"/>
      <c r="QKT1" s="529"/>
      <c r="QKU1" s="530"/>
      <c r="QKV1" s="529"/>
      <c r="QKW1" s="529"/>
      <c r="QKX1" s="529"/>
      <c r="QKY1" s="529"/>
      <c r="QKZ1" s="529"/>
      <c r="QLA1" s="529"/>
      <c r="QLB1" s="529"/>
      <c r="QLC1" s="530"/>
      <c r="QLD1" s="529"/>
      <c r="QLE1" s="529"/>
      <c r="QLF1" s="529"/>
      <c r="QLG1" s="529"/>
      <c r="QLH1" s="529"/>
      <c r="QLI1" s="529"/>
      <c r="QLJ1" s="529"/>
      <c r="QLK1" s="530"/>
      <c r="QLL1" s="529"/>
      <c r="QLM1" s="529"/>
      <c r="QLN1" s="529"/>
      <c r="QLO1" s="529"/>
      <c r="QLP1" s="529"/>
      <c r="QLQ1" s="529"/>
      <c r="QLR1" s="529"/>
      <c r="QLS1" s="530"/>
      <c r="QLT1" s="529"/>
      <c r="QLU1" s="529"/>
      <c r="QLV1" s="529"/>
      <c r="QLW1" s="529"/>
      <c r="QLX1" s="529"/>
      <c r="QLY1" s="529"/>
      <c r="QLZ1" s="529"/>
      <c r="QMA1" s="530"/>
      <c r="QMB1" s="529"/>
      <c r="QMC1" s="529"/>
      <c r="QMD1" s="529"/>
      <c r="QME1" s="529"/>
      <c r="QMF1" s="529"/>
      <c r="QMG1" s="529"/>
      <c r="QMH1" s="529"/>
      <c r="QMI1" s="530"/>
      <c r="QMJ1" s="529"/>
      <c r="QMK1" s="529"/>
      <c r="QML1" s="529"/>
      <c r="QMM1" s="529"/>
      <c r="QMN1" s="529"/>
      <c r="QMO1" s="529"/>
      <c r="QMP1" s="529"/>
      <c r="QMQ1" s="530"/>
      <c r="QMR1" s="529"/>
      <c r="QMS1" s="529"/>
      <c r="QMT1" s="529"/>
      <c r="QMU1" s="529"/>
      <c r="QMV1" s="529"/>
      <c r="QMW1" s="529"/>
      <c r="QMX1" s="529"/>
      <c r="QMY1" s="530"/>
      <c r="QMZ1" s="529"/>
      <c r="QNA1" s="529"/>
      <c r="QNB1" s="529"/>
      <c r="QNC1" s="529"/>
      <c r="QND1" s="529"/>
      <c r="QNE1" s="529"/>
      <c r="QNF1" s="529"/>
      <c r="QNG1" s="530"/>
      <c r="QNH1" s="529"/>
      <c r="QNI1" s="529"/>
      <c r="QNJ1" s="529"/>
      <c r="QNK1" s="529"/>
      <c r="QNL1" s="529"/>
      <c r="QNM1" s="529"/>
      <c r="QNN1" s="529"/>
      <c r="QNO1" s="530"/>
      <c r="QNP1" s="529"/>
      <c r="QNQ1" s="529"/>
      <c r="QNR1" s="529"/>
      <c r="QNS1" s="529"/>
      <c r="QNT1" s="529"/>
      <c r="QNU1" s="529"/>
      <c r="QNV1" s="529"/>
      <c r="QNW1" s="530"/>
      <c r="QNX1" s="529"/>
      <c r="QNY1" s="529"/>
      <c r="QNZ1" s="529"/>
      <c r="QOA1" s="529"/>
      <c r="QOB1" s="529"/>
      <c r="QOC1" s="529"/>
      <c r="QOD1" s="529"/>
      <c r="QOE1" s="530"/>
      <c r="QOF1" s="529"/>
      <c r="QOG1" s="529"/>
      <c r="QOH1" s="529"/>
      <c r="QOI1" s="529"/>
      <c r="QOJ1" s="529"/>
      <c r="QOK1" s="529"/>
      <c r="QOL1" s="529"/>
      <c r="QOM1" s="530"/>
      <c r="QON1" s="529"/>
      <c r="QOO1" s="529"/>
      <c r="QOP1" s="529"/>
      <c r="QOQ1" s="529"/>
      <c r="QOR1" s="529"/>
      <c r="QOS1" s="529"/>
      <c r="QOT1" s="529"/>
      <c r="QOU1" s="530"/>
      <c r="QOV1" s="529"/>
      <c r="QOW1" s="529"/>
      <c r="QOX1" s="529"/>
      <c r="QOY1" s="529"/>
      <c r="QOZ1" s="529"/>
      <c r="QPA1" s="529"/>
      <c r="QPB1" s="529"/>
      <c r="QPC1" s="530"/>
      <c r="QPD1" s="529"/>
      <c r="QPE1" s="529"/>
      <c r="QPF1" s="529"/>
      <c r="QPG1" s="529"/>
      <c r="QPH1" s="529"/>
      <c r="QPI1" s="529"/>
      <c r="QPJ1" s="529"/>
      <c r="QPK1" s="530"/>
      <c r="QPL1" s="529"/>
      <c r="QPM1" s="529"/>
      <c r="QPN1" s="529"/>
      <c r="QPO1" s="529"/>
      <c r="QPP1" s="529"/>
      <c r="QPQ1" s="529"/>
      <c r="QPR1" s="529"/>
      <c r="QPS1" s="530"/>
      <c r="QPT1" s="529"/>
      <c r="QPU1" s="529"/>
      <c r="QPV1" s="529"/>
      <c r="QPW1" s="529"/>
      <c r="QPX1" s="529"/>
      <c r="QPY1" s="529"/>
      <c r="QPZ1" s="529"/>
      <c r="QQA1" s="530"/>
      <c r="QQB1" s="529"/>
      <c r="QQC1" s="529"/>
      <c r="QQD1" s="529"/>
      <c r="QQE1" s="529"/>
      <c r="QQF1" s="529"/>
      <c r="QQG1" s="529"/>
      <c r="QQH1" s="529"/>
      <c r="QQI1" s="530"/>
      <c r="QQJ1" s="529"/>
      <c r="QQK1" s="529"/>
      <c r="QQL1" s="529"/>
      <c r="QQM1" s="529"/>
      <c r="QQN1" s="529"/>
      <c r="QQO1" s="529"/>
      <c r="QQP1" s="529"/>
      <c r="QQQ1" s="530"/>
      <c r="QQR1" s="529"/>
      <c r="QQS1" s="529"/>
      <c r="QQT1" s="529"/>
      <c r="QQU1" s="529"/>
      <c r="QQV1" s="529"/>
      <c r="QQW1" s="529"/>
      <c r="QQX1" s="529"/>
      <c r="QQY1" s="530"/>
      <c r="QQZ1" s="529"/>
      <c r="QRA1" s="529"/>
      <c r="QRB1" s="529"/>
      <c r="QRC1" s="529"/>
      <c r="QRD1" s="529"/>
      <c r="QRE1" s="529"/>
      <c r="QRF1" s="529"/>
      <c r="QRG1" s="530"/>
      <c r="QRH1" s="529"/>
      <c r="QRI1" s="529"/>
      <c r="QRJ1" s="529"/>
      <c r="QRK1" s="529"/>
      <c r="QRL1" s="529"/>
      <c r="QRM1" s="529"/>
      <c r="QRN1" s="529"/>
      <c r="QRO1" s="530"/>
      <c r="QRP1" s="529"/>
      <c r="QRQ1" s="529"/>
      <c r="QRR1" s="529"/>
      <c r="QRS1" s="529"/>
      <c r="QRT1" s="529"/>
      <c r="QRU1" s="529"/>
      <c r="QRV1" s="529"/>
      <c r="QRW1" s="530"/>
      <c r="QRX1" s="529"/>
      <c r="QRY1" s="529"/>
      <c r="QRZ1" s="529"/>
      <c r="QSA1" s="529"/>
      <c r="QSB1" s="529"/>
      <c r="QSC1" s="529"/>
      <c r="QSD1" s="529"/>
      <c r="QSE1" s="530"/>
      <c r="QSF1" s="529"/>
      <c r="QSG1" s="529"/>
      <c r="QSH1" s="529"/>
      <c r="QSI1" s="529"/>
      <c r="QSJ1" s="529"/>
      <c r="QSK1" s="529"/>
      <c r="QSL1" s="529"/>
      <c r="QSM1" s="530"/>
      <c r="QSN1" s="529"/>
      <c r="QSO1" s="529"/>
      <c r="QSP1" s="529"/>
      <c r="QSQ1" s="529"/>
      <c r="QSR1" s="529"/>
      <c r="QSS1" s="529"/>
      <c r="QST1" s="529"/>
      <c r="QSU1" s="530"/>
      <c r="QSV1" s="529"/>
      <c r="QSW1" s="529"/>
      <c r="QSX1" s="529"/>
      <c r="QSY1" s="529"/>
      <c r="QSZ1" s="529"/>
      <c r="QTA1" s="529"/>
      <c r="QTB1" s="529"/>
      <c r="QTC1" s="530"/>
      <c r="QTD1" s="529"/>
      <c r="QTE1" s="529"/>
      <c r="QTF1" s="529"/>
      <c r="QTG1" s="529"/>
      <c r="QTH1" s="529"/>
      <c r="QTI1" s="529"/>
      <c r="QTJ1" s="529"/>
      <c r="QTK1" s="530"/>
      <c r="QTL1" s="529"/>
      <c r="QTM1" s="529"/>
      <c r="QTN1" s="529"/>
      <c r="QTO1" s="529"/>
      <c r="QTP1" s="529"/>
      <c r="QTQ1" s="529"/>
      <c r="QTR1" s="529"/>
      <c r="QTS1" s="530"/>
      <c r="QTT1" s="529"/>
      <c r="QTU1" s="529"/>
      <c r="QTV1" s="529"/>
      <c r="QTW1" s="529"/>
      <c r="QTX1" s="529"/>
      <c r="QTY1" s="529"/>
      <c r="QTZ1" s="529"/>
      <c r="QUA1" s="530"/>
      <c r="QUB1" s="529"/>
      <c r="QUC1" s="529"/>
      <c r="QUD1" s="529"/>
      <c r="QUE1" s="529"/>
      <c r="QUF1" s="529"/>
      <c r="QUG1" s="529"/>
      <c r="QUH1" s="529"/>
      <c r="QUI1" s="530"/>
      <c r="QUJ1" s="529"/>
      <c r="QUK1" s="529"/>
      <c r="QUL1" s="529"/>
      <c r="QUM1" s="529"/>
      <c r="QUN1" s="529"/>
      <c r="QUO1" s="529"/>
      <c r="QUP1" s="529"/>
      <c r="QUQ1" s="530"/>
      <c r="QUR1" s="529"/>
      <c r="QUS1" s="529"/>
      <c r="QUT1" s="529"/>
      <c r="QUU1" s="529"/>
      <c r="QUV1" s="529"/>
      <c r="QUW1" s="529"/>
      <c r="QUX1" s="529"/>
      <c r="QUY1" s="530"/>
      <c r="QUZ1" s="529"/>
      <c r="QVA1" s="529"/>
      <c r="QVB1" s="529"/>
      <c r="QVC1" s="529"/>
      <c r="QVD1" s="529"/>
      <c r="QVE1" s="529"/>
      <c r="QVF1" s="529"/>
      <c r="QVG1" s="530"/>
      <c r="QVH1" s="529"/>
      <c r="QVI1" s="529"/>
      <c r="QVJ1" s="529"/>
      <c r="QVK1" s="529"/>
      <c r="QVL1" s="529"/>
      <c r="QVM1" s="529"/>
      <c r="QVN1" s="529"/>
      <c r="QVO1" s="530"/>
      <c r="QVP1" s="529"/>
      <c r="QVQ1" s="529"/>
      <c r="QVR1" s="529"/>
      <c r="QVS1" s="529"/>
      <c r="QVT1" s="529"/>
      <c r="QVU1" s="529"/>
      <c r="QVV1" s="529"/>
      <c r="QVW1" s="530"/>
      <c r="QVX1" s="529"/>
      <c r="QVY1" s="529"/>
      <c r="QVZ1" s="529"/>
      <c r="QWA1" s="529"/>
      <c r="QWB1" s="529"/>
      <c r="QWC1" s="529"/>
      <c r="QWD1" s="529"/>
      <c r="QWE1" s="530"/>
      <c r="QWF1" s="529"/>
      <c r="QWG1" s="529"/>
      <c r="QWH1" s="529"/>
      <c r="QWI1" s="529"/>
      <c r="QWJ1" s="529"/>
      <c r="QWK1" s="529"/>
      <c r="QWL1" s="529"/>
      <c r="QWM1" s="530"/>
      <c r="QWN1" s="529"/>
      <c r="QWO1" s="529"/>
      <c r="QWP1" s="529"/>
      <c r="QWQ1" s="529"/>
      <c r="QWR1" s="529"/>
      <c r="QWS1" s="529"/>
      <c r="QWT1" s="529"/>
      <c r="QWU1" s="530"/>
      <c r="QWV1" s="529"/>
      <c r="QWW1" s="529"/>
      <c r="QWX1" s="529"/>
      <c r="QWY1" s="529"/>
      <c r="QWZ1" s="529"/>
      <c r="QXA1" s="529"/>
      <c r="QXB1" s="529"/>
      <c r="QXC1" s="530"/>
      <c r="QXD1" s="529"/>
      <c r="QXE1" s="529"/>
      <c r="QXF1" s="529"/>
      <c r="QXG1" s="529"/>
      <c r="QXH1" s="529"/>
      <c r="QXI1" s="529"/>
      <c r="QXJ1" s="529"/>
      <c r="QXK1" s="530"/>
      <c r="QXL1" s="529"/>
      <c r="QXM1" s="529"/>
      <c r="QXN1" s="529"/>
      <c r="QXO1" s="529"/>
      <c r="QXP1" s="529"/>
      <c r="QXQ1" s="529"/>
      <c r="QXR1" s="529"/>
      <c r="QXS1" s="530"/>
      <c r="QXT1" s="529"/>
      <c r="QXU1" s="529"/>
      <c r="QXV1" s="529"/>
      <c r="QXW1" s="529"/>
      <c r="QXX1" s="529"/>
      <c r="QXY1" s="529"/>
      <c r="QXZ1" s="529"/>
      <c r="QYA1" s="530"/>
      <c r="QYB1" s="529"/>
      <c r="QYC1" s="529"/>
      <c r="QYD1" s="529"/>
      <c r="QYE1" s="529"/>
      <c r="QYF1" s="529"/>
      <c r="QYG1" s="529"/>
      <c r="QYH1" s="529"/>
      <c r="QYI1" s="530"/>
      <c r="QYJ1" s="529"/>
      <c r="QYK1" s="529"/>
      <c r="QYL1" s="529"/>
      <c r="QYM1" s="529"/>
      <c r="QYN1" s="529"/>
      <c r="QYO1" s="529"/>
      <c r="QYP1" s="529"/>
      <c r="QYQ1" s="530"/>
      <c r="QYR1" s="529"/>
      <c r="QYS1" s="529"/>
      <c r="QYT1" s="529"/>
      <c r="QYU1" s="529"/>
      <c r="QYV1" s="529"/>
      <c r="QYW1" s="529"/>
      <c r="QYX1" s="529"/>
      <c r="QYY1" s="530"/>
      <c r="QYZ1" s="529"/>
      <c r="QZA1" s="529"/>
      <c r="QZB1" s="529"/>
      <c r="QZC1" s="529"/>
      <c r="QZD1" s="529"/>
      <c r="QZE1" s="529"/>
      <c r="QZF1" s="529"/>
      <c r="QZG1" s="530"/>
      <c r="QZH1" s="529"/>
      <c r="QZI1" s="529"/>
      <c r="QZJ1" s="529"/>
      <c r="QZK1" s="529"/>
      <c r="QZL1" s="529"/>
      <c r="QZM1" s="529"/>
      <c r="QZN1" s="529"/>
      <c r="QZO1" s="530"/>
      <c r="QZP1" s="529"/>
      <c r="QZQ1" s="529"/>
      <c r="QZR1" s="529"/>
      <c r="QZS1" s="529"/>
      <c r="QZT1" s="529"/>
      <c r="QZU1" s="529"/>
      <c r="QZV1" s="529"/>
      <c r="QZW1" s="530"/>
      <c r="QZX1" s="529"/>
      <c r="QZY1" s="529"/>
      <c r="QZZ1" s="529"/>
      <c r="RAA1" s="529"/>
      <c r="RAB1" s="529"/>
      <c r="RAC1" s="529"/>
      <c r="RAD1" s="529"/>
      <c r="RAE1" s="530"/>
      <c r="RAF1" s="529"/>
      <c r="RAG1" s="529"/>
      <c r="RAH1" s="529"/>
      <c r="RAI1" s="529"/>
      <c r="RAJ1" s="529"/>
      <c r="RAK1" s="529"/>
      <c r="RAL1" s="529"/>
      <c r="RAM1" s="530"/>
      <c r="RAN1" s="529"/>
      <c r="RAO1" s="529"/>
      <c r="RAP1" s="529"/>
      <c r="RAQ1" s="529"/>
      <c r="RAR1" s="529"/>
      <c r="RAS1" s="529"/>
      <c r="RAT1" s="529"/>
      <c r="RAU1" s="530"/>
      <c r="RAV1" s="529"/>
      <c r="RAW1" s="529"/>
      <c r="RAX1" s="529"/>
      <c r="RAY1" s="529"/>
      <c r="RAZ1" s="529"/>
      <c r="RBA1" s="529"/>
      <c r="RBB1" s="529"/>
      <c r="RBC1" s="530"/>
      <c r="RBD1" s="529"/>
      <c r="RBE1" s="529"/>
      <c r="RBF1" s="529"/>
      <c r="RBG1" s="529"/>
      <c r="RBH1" s="529"/>
      <c r="RBI1" s="529"/>
      <c r="RBJ1" s="529"/>
      <c r="RBK1" s="530"/>
      <c r="RBL1" s="529"/>
      <c r="RBM1" s="529"/>
      <c r="RBN1" s="529"/>
      <c r="RBO1" s="529"/>
      <c r="RBP1" s="529"/>
      <c r="RBQ1" s="529"/>
      <c r="RBR1" s="529"/>
      <c r="RBS1" s="530"/>
      <c r="RBT1" s="529"/>
      <c r="RBU1" s="529"/>
      <c r="RBV1" s="529"/>
      <c r="RBW1" s="529"/>
      <c r="RBX1" s="529"/>
      <c r="RBY1" s="529"/>
      <c r="RBZ1" s="529"/>
      <c r="RCA1" s="530"/>
      <c r="RCB1" s="529"/>
      <c r="RCC1" s="529"/>
      <c r="RCD1" s="529"/>
      <c r="RCE1" s="529"/>
      <c r="RCF1" s="529"/>
      <c r="RCG1" s="529"/>
      <c r="RCH1" s="529"/>
      <c r="RCI1" s="530"/>
      <c r="RCJ1" s="529"/>
      <c r="RCK1" s="529"/>
      <c r="RCL1" s="529"/>
      <c r="RCM1" s="529"/>
      <c r="RCN1" s="529"/>
      <c r="RCO1" s="529"/>
      <c r="RCP1" s="529"/>
      <c r="RCQ1" s="530"/>
      <c r="RCR1" s="529"/>
      <c r="RCS1" s="529"/>
      <c r="RCT1" s="529"/>
      <c r="RCU1" s="529"/>
      <c r="RCV1" s="529"/>
      <c r="RCW1" s="529"/>
      <c r="RCX1" s="529"/>
      <c r="RCY1" s="530"/>
      <c r="RCZ1" s="529"/>
      <c r="RDA1" s="529"/>
      <c r="RDB1" s="529"/>
      <c r="RDC1" s="529"/>
      <c r="RDD1" s="529"/>
      <c r="RDE1" s="529"/>
      <c r="RDF1" s="529"/>
      <c r="RDG1" s="530"/>
      <c r="RDH1" s="529"/>
      <c r="RDI1" s="529"/>
      <c r="RDJ1" s="529"/>
      <c r="RDK1" s="529"/>
      <c r="RDL1" s="529"/>
      <c r="RDM1" s="529"/>
      <c r="RDN1" s="529"/>
      <c r="RDO1" s="530"/>
      <c r="RDP1" s="529"/>
      <c r="RDQ1" s="529"/>
      <c r="RDR1" s="529"/>
      <c r="RDS1" s="529"/>
      <c r="RDT1" s="529"/>
      <c r="RDU1" s="529"/>
      <c r="RDV1" s="529"/>
      <c r="RDW1" s="530"/>
      <c r="RDX1" s="529"/>
      <c r="RDY1" s="529"/>
      <c r="RDZ1" s="529"/>
      <c r="REA1" s="529"/>
      <c r="REB1" s="529"/>
      <c r="REC1" s="529"/>
      <c r="RED1" s="529"/>
      <c r="REE1" s="530"/>
      <c r="REF1" s="529"/>
      <c r="REG1" s="529"/>
      <c r="REH1" s="529"/>
      <c r="REI1" s="529"/>
      <c r="REJ1" s="529"/>
      <c r="REK1" s="529"/>
      <c r="REL1" s="529"/>
      <c r="REM1" s="530"/>
      <c r="REN1" s="529"/>
      <c r="REO1" s="529"/>
      <c r="REP1" s="529"/>
      <c r="REQ1" s="529"/>
      <c r="RER1" s="529"/>
      <c r="RES1" s="529"/>
      <c r="RET1" s="529"/>
      <c r="REU1" s="530"/>
      <c r="REV1" s="529"/>
      <c r="REW1" s="529"/>
      <c r="REX1" s="529"/>
      <c r="REY1" s="529"/>
      <c r="REZ1" s="529"/>
      <c r="RFA1" s="529"/>
      <c r="RFB1" s="529"/>
      <c r="RFC1" s="530"/>
      <c r="RFD1" s="529"/>
      <c r="RFE1" s="529"/>
      <c r="RFF1" s="529"/>
      <c r="RFG1" s="529"/>
      <c r="RFH1" s="529"/>
      <c r="RFI1" s="529"/>
      <c r="RFJ1" s="529"/>
      <c r="RFK1" s="530"/>
      <c r="RFL1" s="529"/>
      <c r="RFM1" s="529"/>
      <c r="RFN1" s="529"/>
      <c r="RFO1" s="529"/>
      <c r="RFP1" s="529"/>
      <c r="RFQ1" s="529"/>
      <c r="RFR1" s="529"/>
      <c r="RFS1" s="530"/>
      <c r="RFT1" s="529"/>
      <c r="RFU1" s="529"/>
      <c r="RFV1" s="529"/>
      <c r="RFW1" s="529"/>
      <c r="RFX1" s="529"/>
      <c r="RFY1" s="529"/>
      <c r="RFZ1" s="529"/>
      <c r="RGA1" s="530"/>
      <c r="RGB1" s="529"/>
      <c r="RGC1" s="529"/>
      <c r="RGD1" s="529"/>
      <c r="RGE1" s="529"/>
      <c r="RGF1" s="529"/>
      <c r="RGG1" s="529"/>
      <c r="RGH1" s="529"/>
      <c r="RGI1" s="530"/>
      <c r="RGJ1" s="529"/>
      <c r="RGK1" s="529"/>
      <c r="RGL1" s="529"/>
      <c r="RGM1" s="529"/>
      <c r="RGN1" s="529"/>
      <c r="RGO1" s="529"/>
      <c r="RGP1" s="529"/>
      <c r="RGQ1" s="530"/>
      <c r="RGR1" s="529"/>
      <c r="RGS1" s="529"/>
      <c r="RGT1" s="529"/>
      <c r="RGU1" s="529"/>
      <c r="RGV1" s="529"/>
      <c r="RGW1" s="529"/>
      <c r="RGX1" s="529"/>
      <c r="RGY1" s="530"/>
      <c r="RGZ1" s="529"/>
      <c r="RHA1" s="529"/>
      <c r="RHB1" s="529"/>
      <c r="RHC1" s="529"/>
      <c r="RHD1" s="529"/>
      <c r="RHE1" s="529"/>
      <c r="RHF1" s="529"/>
      <c r="RHG1" s="530"/>
      <c r="RHH1" s="529"/>
      <c r="RHI1" s="529"/>
      <c r="RHJ1" s="529"/>
      <c r="RHK1" s="529"/>
      <c r="RHL1" s="529"/>
      <c r="RHM1" s="529"/>
      <c r="RHN1" s="529"/>
      <c r="RHO1" s="530"/>
      <c r="RHP1" s="529"/>
      <c r="RHQ1" s="529"/>
      <c r="RHR1" s="529"/>
      <c r="RHS1" s="529"/>
      <c r="RHT1" s="529"/>
      <c r="RHU1" s="529"/>
      <c r="RHV1" s="529"/>
      <c r="RHW1" s="530"/>
      <c r="RHX1" s="529"/>
      <c r="RHY1" s="529"/>
      <c r="RHZ1" s="529"/>
      <c r="RIA1" s="529"/>
      <c r="RIB1" s="529"/>
      <c r="RIC1" s="529"/>
      <c r="RID1" s="529"/>
      <c r="RIE1" s="530"/>
      <c r="RIF1" s="529"/>
      <c r="RIG1" s="529"/>
      <c r="RIH1" s="529"/>
      <c r="RII1" s="529"/>
      <c r="RIJ1" s="529"/>
      <c r="RIK1" s="529"/>
      <c r="RIL1" s="529"/>
      <c r="RIM1" s="530"/>
      <c r="RIN1" s="529"/>
      <c r="RIO1" s="529"/>
      <c r="RIP1" s="529"/>
      <c r="RIQ1" s="529"/>
      <c r="RIR1" s="529"/>
      <c r="RIS1" s="529"/>
      <c r="RIT1" s="529"/>
      <c r="RIU1" s="530"/>
      <c r="RIV1" s="529"/>
      <c r="RIW1" s="529"/>
      <c r="RIX1" s="529"/>
      <c r="RIY1" s="529"/>
      <c r="RIZ1" s="529"/>
      <c r="RJA1" s="529"/>
      <c r="RJB1" s="529"/>
      <c r="RJC1" s="530"/>
      <c r="RJD1" s="529"/>
      <c r="RJE1" s="529"/>
      <c r="RJF1" s="529"/>
      <c r="RJG1" s="529"/>
      <c r="RJH1" s="529"/>
      <c r="RJI1" s="529"/>
      <c r="RJJ1" s="529"/>
      <c r="RJK1" s="530"/>
      <c r="RJL1" s="529"/>
      <c r="RJM1" s="529"/>
      <c r="RJN1" s="529"/>
      <c r="RJO1" s="529"/>
      <c r="RJP1" s="529"/>
      <c r="RJQ1" s="529"/>
      <c r="RJR1" s="529"/>
      <c r="RJS1" s="530"/>
      <c r="RJT1" s="529"/>
      <c r="RJU1" s="529"/>
      <c r="RJV1" s="529"/>
      <c r="RJW1" s="529"/>
      <c r="RJX1" s="529"/>
      <c r="RJY1" s="529"/>
      <c r="RJZ1" s="529"/>
      <c r="RKA1" s="530"/>
      <c r="RKB1" s="529"/>
      <c r="RKC1" s="529"/>
      <c r="RKD1" s="529"/>
      <c r="RKE1" s="529"/>
      <c r="RKF1" s="529"/>
      <c r="RKG1" s="529"/>
      <c r="RKH1" s="529"/>
      <c r="RKI1" s="530"/>
      <c r="RKJ1" s="529"/>
      <c r="RKK1" s="529"/>
      <c r="RKL1" s="529"/>
      <c r="RKM1" s="529"/>
      <c r="RKN1" s="529"/>
      <c r="RKO1" s="529"/>
      <c r="RKP1" s="529"/>
      <c r="RKQ1" s="530"/>
      <c r="RKR1" s="529"/>
      <c r="RKS1" s="529"/>
      <c r="RKT1" s="529"/>
      <c r="RKU1" s="529"/>
      <c r="RKV1" s="529"/>
      <c r="RKW1" s="529"/>
      <c r="RKX1" s="529"/>
      <c r="RKY1" s="530"/>
      <c r="RKZ1" s="529"/>
      <c r="RLA1" s="529"/>
      <c r="RLB1" s="529"/>
      <c r="RLC1" s="529"/>
      <c r="RLD1" s="529"/>
      <c r="RLE1" s="529"/>
      <c r="RLF1" s="529"/>
      <c r="RLG1" s="530"/>
      <c r="RLH1" s="529"/>
      <c r="RLI1" s="529"/>
      <c r="RLJ1" s="529"/>
      <c r="RLK1" s="529"/>
      <c r="RLL1" s="529"/>
      <c r="RLM1" s="529"/>
      <c r="RLN1" s="529"/>
      <c r="RLO1" s="530"/>
      <c r="RLP1" s="529"/>
      <c r="RLQ1" s="529"/>
      <c r="RLR1" s="529"/>
      <c r="RLS1" s="529"/>
      <c r="RLT1" s="529"/>
      <c r="RLU1" s="529"/>
      <c r="RLV1" s="529"/>
      <c r="RLW1" s="530"/>
      <c r="RLX1" s="529"/>
      <c r="RLY1" s="529"/>
      <c r="RLZ1" s="529"/>
      <c r="RMA1" s="529"/>
      <c r="RMB1" s="529"/>
      <c r="RMC1" s="529"/>
      <c r="RMD1" s="529"/>
      <c r="RME1" s="530"/>
      <c r="RMF1" s="529"/>
      <c r="RMG1" s="529"/>
      <c r="RMH1" s="529"/>
      <c r="RMI1" s="529"/>
      <c r="RMJ1" s="529"/>
      <c r="RMK1" s="529"/>
      <c r="RML1" s="529"/>
      <c r="RMM1" s="530"/>
      <c r="RMN1" s="529"/>
      <c r="RMO1" s="529"/>
      <c r="RMP1" s="529"/>
      <c r="RMQ1" s="529"/>
      <c r="RMR1" s="529"/>
      <c r="RMS1" s="529"/>
      <c r="RMT1" s="529"/>
      <c r="RMU1" s="530"/>
      <c r="RMV1" s="529"/>
      <c r="RMW1" s="529"/>
      <c r="RMX1" s="529"/>
      <c r="RMY1" s="529"/>
      <c r="RMZ1" s="529"/>
      <c r="RNA1" s="529"/>
      <c r="RNB1" s="529"/>
      <c r="RNC1" s="530"/>
      <c r="RND1" s="529"/>
      <c r="RNE1" s="529"/>
      <c r="RNF1" s="529"/>
      <c r="RNG1" s="529"/>
      <c r="RNH1" s="529"/>
      <c r="RNI1" s="529"/>
      <c r="RNJ1" s="529"/>
      <c r="RNK1" s="530"/>
      <c r="RNL1" s="529"/>
      <c r="RNM1" s="529"/>
      <c r="RNN1" s="529"/>
      <c r="RNO1" s="529"/>
      <c r="RNP1" s="529"/>
      <c r="RNQ1" s="529"/>
      <c r="RNR1" s="529"/>
      <c r="RNS1" s="530"/>
      <c r="RNT1" s="529"/>
      <c r="RNU1" s="529"/>
      <c r="RNV1" s="529"/>
      <c r="RNW1" s="529"/>
      <c r="RNX1" s="529"/>
      <c r="RNY1" s="529"/>
      <c r="RNZ1" s="529"/>
      <c r="ROA1" s="530"/>
      <c r="ROB1" s="529"/>
      <c r="ROC1" s="529"/>
      <c r="ROD1" s="529"/>
      <c r="ROE1" s="529"/>
      <c r="ROF1" s="529"/>
      <c r="ROG1" s="529"/>
      <c r="ROH1" s="529"/>
      <c r="ROI1" s="530"/>
      <c r="ROJ1" s="529"/>
      <c r="ROK1" s="529"/>
      <c r="ROL1" s="529"/>
      <c r="ROM1" s="529"/>
      <c r="RON1" s="529"/>
      <c r="ROO1" s="529"/>
      <c r="ROP1" s="529"/>
      <c r="ROQ1" s="530"/>
      <c r="ROR1" s="529"/>
      <c r="ROS1" s="529"/>
      <c r="ROT1" s="529"/>
      <c r="ROU1" s="529"/>
      <c r="ROV1" s="529"/>
      <c r="ROW1" s="529"/>
      <c r="ROX1" s="529"/>
      <c r="ROY1" s="530"/>
      <c r="ROZ1" s="529"/>
      <c r="RPA1" s="529"/>
      <c r="RPB1" s="529"/>
      <c r="RPC1" s="529"/>
      <c r="RPD1" s="529"/>
      <c r="RPE1" s="529"/>
      <c r="RPF1" s="529"/>
      <c r="RPG1" s="530"/>
      <c r="RPH1" s="529"/>
      <c r="RPI1" s="529"/>
      <c r="RPJ1" s="529"/>
      <c r="RPK1" s="529"/>
      <c r="RPL1" s="529"/>
      <c r="RPM1" s="529"/>
      <c r="RPN1" s="529"/>
      <c r="RPO1" s="530"/>
      <c r="RPP1" s="529"/>
      <c r="RPQ1" s="529"/>
      <c r="RPR1" s="529"/>
      <c r="RPS1" s="529"/>
      <c r="RPT1" s="529"/>
      <c r="RPU1" s="529"/>
      <c r="RPV1" s="529"/>
      <c r="RPW1" s="530"/>
      <c r="RPX1" s="529"/>
      <c r="RPY1" s="529"/>
      <c r="RPZ1" s="529"/>
      <c r="RQA1" s="529"/>
      <c r="RQB1" s="529"/>
      <c r="RQC1" s="529"/>
      <c r="RQD1" s="529"/>
      <c r="RQE1" s="530"/>
      <c r="RQF1" s="529"/>
      <c r="RQG1" s="529"/>
      <c r="RQH1" s="529"/>
      <c r="RQI1" s="529"/>
      <c r="RQJ1" s="529"/>
      <c r="RQK1" s="529"/>
      <c r="RQL1" s="529"/>
      <c r="RQM1" s="530"/>
      <c r="RQN1" s="529"/>
      <c r="RQO1" s="529"/>
      <c r="RQP1" s="529"/>
      <c r="RQQ1" s="529"/>
      <c r="RQR1" s="529"/>
      <c r="RQS1" s="529"/>
      <c r="RQT1" s="529"/>
      <c r="RQU1" s="530"/>
      <c r="RQV1" s="529"/>
      <c r="RQW1" s="529"/>
      <c r="RQX1" s="529"/>
      <c r="RQY1" s="529"/>
      <c r="RQZ1" s="529"/>
      <c r="RRA1" s="529"/>
      <c r="RRB1" s="529"/>
      <c r="RRC1" s="530"/>
      <c r="RRD1" s="529"/>
      <c r="RRE1" s="529"/>
      <c r="RRF1" s="529"/>
      <c r="RRG1" s="529"/>
      <c r="RRH1" s="529"/>
      <c r="RRI1" s="529"/>
      <c r="RRJ1" s="529"/>
      <c r="RRK1" s="530"/>
      <c r="RRL1" s="529"/>
      <c r="RRM1" s="529"/>
      <c r="RRN1" s="529"/>
      <c r="RRO1" s="529"/>
      <c r="RRP1" s="529"/>
      <c r="RRQ1" s="529"/>
      <c r="RRR1" s="529"/>
      <c r="RRS1" s="530"/>
      <c r="RRT1" s="529"/>
      <c r="RRU1" s="529"/>
      <c r="RRV1" s="529"/>
      <c r="RRW1" s="529"/>
      <c r="RRX1" s="529"/>
      <c r="RRY1" s="529"/>
      <c r="RRZ1" s="529"/>
      <c r="RSA1" s="530"/>
      <c r="RSB1" s="529"/>
      <c r="RSC1" s="529"/>
      <c r="RSD1" s="529"/>
      <c r="RSE1" s="529"/>
      <c r="RSF1" s="529"/>
      <c r="RSG1" s="529"/>
      <c r="RSH1" s="529"/>
      <c r="RSI1" s="530"/>
      <c r="RSJ1" s="529"/>
      <c r="RSK1" s="529"/>
      <c r="RSL1" s="529"/>
      <c r="RSM1" s="529"/>
      <c r="RSN1" s="529"/>
      <c r="RSO1" s="529"/>
      <c r="RSP1" s="529"/>
      <c r="RSQ1" s="530"/>
      <c r="RSR1" s="529"/>
      <c r="RSS1" s="529"/>
      <c r="RST1" s="529"/>
      <c r="RSU1" s="529"/>
      <c r="RSV1" s="529"/>
      <c r="RSW1" s="529"/>
      <c r="RSX1" s="529"/>
      <c r="RSY1" s="530"/>
      <c r="RSZ1" s="529"/>
      <c r="RTA1" s="529"/>
      <c r="RTB1" s="529"/>
      <c r="RTC1" s="529"/>
      <c r="RTD1" s="529"/>
      <c r="RTE1" s="529"/>
      <c r="RTF1" s="529"/>
      <c r="RTG1" s="530"/>
      <c r="RTH1" s="529"/>
      <c r="RTI1" s="529"/>
      <c r="RTJ1" s="529"/>
      <c r="RTK1" s="529"/>
      <c r="RTL1" s="529"/>
      <c r="RTM1" s="529"/>
      <c r="RTN1" s="529"/>
      <c r="RTO1" s="530"/>
      <c r="RTP1" s="529"/>
      <c r="RTQ1" s="529"/>
      <c r="RTR1" s="529"/>
      <c r="RTS1" s="529"/>
      <c r="RTT1" s="529"/>
      <c r="RTU1" s="529"/>
      <c r="RTV1" s="529"/>
      <c r="RTW1" s="530"/>
      <c r="RTX1" s="529"/>
      <c r="RTY1" s="529"/>
      <c r="RTZ1" s="529"/>
      <c r="RUA1" s="529"/>
      <c r="RUB1" s="529"/>
      <c r="RUC1" s="529"/>
      <c r="RUD1" s="529"/>
      <c r="RUE1" s="530"/>
      <c r="RUF1" s="529"/>
      <c r="RUG1" s="529"/>
      <c r="RUH1" s="529"/>
      <c r="RUI1" s="529"/>
      <c r="RUJ1" s="529"/>
      <c r="RUK1" s="529"/>
      <c r="RUL1" s="529"/>
      <c r="RUM1" s="530"/>
      <c r="RUN1" s="529"/>
      <c r="RUO1" s="529"/>
      <c r="RUP1" s="529"/>
      <c r="RUQ1" s="529"/>
      <c r="RUR1" s="529"/>
      <c r="RUS1" s="529"/>
      <c r="RUT1" s="529"/>
      <c r="RUU1" s="530"/>
      <c r="RUV1" s="529"/>
      <c r="RUW1" s="529"/>
      <c r="RUX1" s="529"/>
      <c r="RUY1" s="529"/>
      <c r="RUZ1" s="529"/>
      <c r="RVA1" s="529"/>
      <c r="RVB1" s="529"/>
      <c r="RVC1" s="530"/>
      <c r="RVD1" s="529"/>
      <c r="RVE1" s="529"/>
      <c r="RVF1" s="529"/>
      <c r="RVG1" s="529"/>
      <c r="RVH1" s="529"/>
      <c r="RVI1" s="529"/>
      <c r="RVJ1" s="529"/>
      <c r="RVK1" s="530"/>
      <c r="RVL1" s="529"/>
      <c r="RVM1" s="529"/>
      <c r="RVN1" s="529"/>
      <c r="RVO1" s="529"/>
      <c r="RVP1" s="529"/>
      <c r="RVQ1" s="529"/>
      <c r="RVR1" s="529"/>
      <c r="RVS1" s="530"/>
      <c r="RVT1" s="529"/>
      <c r="RVU1" s="529"/>
      <c r="RVV1" s="529"/>
      <c r="RVW1" s="529"/>
      <c r="RVX1" s="529"/>
      <c r="RVY1" s="529"/>
      <c r="RVZ1" s="529"/>
      <c r="RWA1" s="530"/>
      <c r="RWB1" s="529"/>
      <c r="RWC1" s="529"/>
      <c r="RWD1" s="529"/>
      <c r="RWE1" s="529"/>
      <c r="RWF1" s="529"/>
      <c r="RWG1" s="529"/>
      <c r="RWH1" s="529"/>
      <c r="RWI1" s="530"/>
      <c r="RWJ1" s="529"/>
      <c r="RWK1" s="529"/>
      <c r="RWL1" s="529"/>
      <c r="RWM1" s="529"/>
      <c r="RWN1" s="529"/>
      <c r="RWO1" s="529"/>
      <c r="RWP1" s="529"/>
      <c r="RWQ1" s="530"/>
      <c r="RWR1" s="529"/>
      <c r="RWS1" s="529"/>
      <c r="RWT1" s="529"/>
      <c r="RWU1" s="529"/>
      <c r="RWV1" s="529"/>
      <c r="RWW1" s="529"/>
      <c r="RWX1" s="529"/>
      <c r="RWY1" s="530"/>
      <c r="RWZ1" s="529"/>
      <c r="RXA1" s="529"/>
      <c r="RXB1" s="529"/>
      <c r="RXC1" s="529"/>
      <c r="RXD1" s="529"/>
      <c r="RXE1" s="529"/>
      <c r="RXF1" s="529"/>
      <c r="RXG1" s="530"/>
      <c r="RXH1" s="529"/>
      <c r="RXI1" s="529"/>
      <c r="RXJ1" s="529"/>
      <c r="RXK1" s="529"/>
      <c r="RXL1" s="529"/>
      <c r="RXM1" s="529"/>
      <c r="RXN1" s="529"/>
      <c r="RXO1" s="530"/>
      <c r="RXP1" s="529"/>
      <c r="RXQ1" s="529"/>
      <c r="RXR1" s="529"/>
      <c r="RXS1" s="529"/>
      <c r="RXT1" s="529"/>
      <c r="RXU1" s="529"/>
      <c r="RXV1" s="529"/>
      <c r="RXW1" s="530"/>
      <c r="RXX1" s="529"/>
      <c r="RXY1" s="529"/>
      <c r="RXZ1" s="529"/>
      <c r="RYA1" s="529"/>
      <c r="RYB1" s="529"/>
      <c r="RYC1" s="529"/>
      <c r="RYD1" s="529"/>
      <c r="RYE1" s="530"/>
      <c r="RYF1" s="529"/>
      <c r="RYG1" s="529"/>
      <c r="RYH1" s="529"/>
      <c r="RYI1" s="529"/>
      <c r="RYJ1" s="529"/>
      <c r="RYK1" s="529"/>
      <c r="RYL1" s="529"/>
      <c r="RYM1" s="530"/>
      <c r="RYN1" s="529"/>
      <c r="RYO1" s="529"/>
      <c r="RYP1" s="529"/>
      <c r="RYQ1" s="529"/>
      <c r="RYR1" s="529"/>
      <c r="RYS1" s="529"/>
      <c r="RYT1" s="529"/>
      <c r="RYU1" s="530"/>
      <c r="RYV1" s="529"/>
      <c r="RYW1" s="529"/>
      <c r="RYX1" s="529"/>
      <c r="RYY1" s="529"/>
      <c r="RYZ1" s="529"/>
      <c r="RZA1" s="529"/>
      <c r="RZB1" s="529"/>
      <c r="RZC1" s="530"/>
      <c r="RZD1" s="529"/>
      <c r="RZE1" s="529"/>
      <c r="RZF1" s="529"/>
      <c r="RZG1" s="529"/>
      <c r="RZH1" s="529"/>
      <c r="RZI1" s="529"/>
      <c r="RZJ1" s="529"/>
      <c r="RZK1" s="530"/>
      <c r="RZL1" s="529"/>
      <c r="RZM1" s="529"/>
      <c r="RZN1" s="529"/>
      <c r="RZO1" s="529"/>
      <c r="RZP1" s="529"/>
      <c r="RZQ1" s="529"/>
      <c r="RZR1" s="529"/>
      <c r="RZS1" s="530"/>
      <c r="RZT1" s="529"/>
      <c r="RZU1" s="529"/>
      <c r="RZV1" s="529"/>
      <c r="RZW1" s="529"/>
      <c r="RZX1" s="529"/>
      <c r="RZY1" s="529"/>
      <c r="RZZ1" s="529"/>
      <c r="SAA1" s="530"/>
      <c r="SAB1" s="529"/>
      <c r="SAC1" s="529"/>
      <c r="SAD1" s="529"/>
      <c r="SAE1" s="529"/>
      <c r="SAF1" s="529"/>
      <c r="SAG1" s="529"/>
      <c r="SAH1" s="529"/>
      <c r="SAI1" s="530"/>
      <c r="SAJ1" s="529"/>
      <c r="SAK1" s="529"/>
      <c r="SAL1" s="529"/>
      <c r="SAM1" s="529"/>
      <c r="SAN1" s="529"/>
      <c r="SAO1" s="529"/>
      <c r="SAP1" s="529"/>
      <c r="SAQ1" s="530"/>
      <c r="SAR1" s="529"/>
      <c r="SAS1" s="529"/>
      <c r="SAT1" s="529"/>
      <c r="SAU1" s="529"/>
      <c r="SAV1" s="529"/>
      <c r="SAW1" s="529"/>
      <c r="SAX1" s="529"/>
      <c r="SAY1" s="530"/>
      <c r="SAZ1" s="529"/>
      <c r="SBA1" s="529"/>
      <c r="SBB1" s="529"/>
      <c r="SBC1" s="529"/>
      <c r="SBD1" s="529"/>
      <c r="SBE1" s="529"/>
      <c r="SBF1" s="529"/>
      <c r="SBG1" s="530"/>
      <c r="SBH1" s="529"/>
      <c r="SBI1" s="529"/>
      <c r="SBJ1" s="529"/>
      <c r="SBK1" s="529"/>
      <c r="SBL1" s="529"/>
      <c r="SBM1" s="529"/>
      <c r="SBN1" s="529"/>
      <c r="SBO1" s="530"/>
      <c r="SBP1" s="529"/>
      <c r="SBQ1" s="529"/>
      <c r="SBR1" s="529"/>
      <c r="SBS1" s="529"/>
      <c r="SBT1" s="529"/>
      <c r="SBU1" s="529"/>
      <c r="SBV1" s="529"/>
      <c r="SBW1" s="530"/>
      <c r="SBX1" s="529"/>
      <c r="SBY1" s="529"/>
      <c r="SBZ1" s="529"/>
      <c r="SCA1" s="529"/>
      <c r="SCB1" s="529"/>
      <c r="SCC1" s="529"/>
      <c r="SCD1" s="529"/>
      <c r="SCE1" s="530"/>
      <c r="SCF1" s="529"/>
      <c r="SCG1" s="529"/>
      <c r="SCH1" s="529"/>
      <c r="SCI1" s="529"/>
      <c r="SCJ1" s="529"/>
      <c r="SCK1" s="529"/>
      <c r="SCL1" s="529"/>
      <c r="SCM1" s="530"/>
      <c r="SCN1" s="529"/>
      <c r="SCO1" s="529"/>
      <c r="SCP1" s="529"/>
      <c r="SCQ1" s="529"/>
      <c r="SCR1" s="529"/>
      <c r="SCS1" s="529"/>
      <c r="SCT1" s="529"/>
      <c r="SCU1" s="530"/>
      <c r="SCV1" s="529"/>
      <c r="SCW1" s="529"/>
      <c r="SCX1" s="529"/>
      <c r="SCY1" s="529"/>
      <c r="SCZ1" s="529"/>
      <c r="SDA1" s="529"/>
      <c r="SDB1" s="529"/>
      <c r="SDC1" s="530"/>
      <c r="SDD1" s="529"/>
      <c r="SDE1" s="529"/>
      <c r="SDF1" s="529"/>
      <c r="SDG1" s="529"/>
      <c r="SDH1" s="529"/>
      <c r="SDI1" s="529"/>
      <c r="SDJ1" s="529"/>
      <c r="SDK1" s="530"/>
      <c r="SDL1" s="529"/>
      <c r="SDM1" s="529"/>
      <c r="SDN1" s="529"/>
      <c r="SDO1" s="529"/>
      <c r="SDP1" s="529"/>
      <c r="SDQ1" s="529"/>
      <c r="SDR1" s="529"/>
      <c r="SDS1" s="530"/>
      <c r="SDT1" s="529"/>
      <c r="SDU1" s="529"/>
      <c r="SDV1" s="529"/>
      <c r="SDW1" s="529"/>
      <c r="SDX1" s="529"/>
      <c r="SDY1" s="529"/>
      <c r="SDZ1" s="529"/>
      <c r="SEA1" s="530"/>
      <c r="SEB1" s="529"/>
      <c r="SEC1" s="529"/>
      <c r="SED1" s="529"/>
      <c r="SEE1" s="529"/>
      <c r="SEF1" s="529"/>
      <c r="SEG1" s="529"/>
      <c r="SEH1" s="529"/>
      <c r="SEI1" s="530"/>
      <c r="SEJ1" s="529"/>
      <c r="SEK1" s="529"/>
      <c r="SEL1" s="529"/>
      <c r="SEM1" s="529"/>
      <c r="SEN1" s="529"/>
      <c r="SEO1" s="529"/>
      <c r="SEP1" s="529"/>
      <c r="SEQ1" s="530"/>
      <c r="SER1" s="529"/>
      <c r="SES1" s="529"/>
      <c r="SET1" s="529"/>
      <c r="SEU1" s="529"/>
      <c r="SEV1" s="529"/>
      <c r="SEW1" s="529"/>
      <c r="SEX1" s="529"/>
      <c r="SEY1" s="530"/>
      <c r="SEZ1" s="529"/>
      <c r="SFA1" s="529"/>
      <c r="SFB1" s="529"/>
      <c r="SFC1" s="529"/>
      <c r="SFD1" s="529"/>
      <c r="SFE1" s="529"/>
      <c r="SFF1" s="529"/>
      <c r="SFG1" s="530"/>
      <c r="SFH1" s="529"/>
      <c r="SFI1" s="529"/>
      <c r="SFJ1" s="529"/>
      <c r="SFK1" s="529"/>
      <c r="SFL1" s="529"/>
      <c r="SFM1" s="529"/>
      <c r="SFN1" s="529"/>
      <c r="SFO1" s="530"/>
      <c r="SFP1" s="529"/>
      <c r="SFQ1" s="529"/>
      <c r="SFR1" s="529"/>
      <c r="SFS1" s="529"/>
      <c r="SFT1" s="529"/>
      <c r="SFU1" s="529"/>
      <c r="SFV1" s="529"/>
      <c r="SFW1" s="530"/>
      <c r="SFX1" s="529"/>
      <c r="SFY1" s="529"/>
      <c r="SFZ1" s="529"/>
      <c r="SGA1" s="529"/>
      <c r="SGB1" s="529"/>
      <c r="SGC1" s="529"/>
      <c r="SGD1" s="529"/>
      <c r="SGE1" s="530"/>
      <c r="SGF1" s="529"/>
      <c r="SGG1" s="529"/>
      <c r="SGH1" s="529"/>
      <c r="SGI1" s="529"/>
      <c r="SGJ1" s="529"/>
      <c r="SGK1" s="529"/>
      <c r="SGL1" s="529"/>
      <c r="SGM1" s="530"/>
      <c r="SGN1" s="529"/>
      <c r="SGO1" s="529"/>
      <c r="SGP1" s="529"/>
      <c r="SGQ1" s="529"/>
      <c r="SGR1" s="529"/>
      <c r="SGS1" s="529"/>
      <c r="SGT1" s="529"/>
      <c r="SGU1" s="530"/>
      <c r="SGV1" s="529"/>
      <c r="SGW1" s="529"/>
      <c r="SGX1" s="529"/>
      <c r="SGY1" s="529"/>
      <c r="SGZ1" s="529"/>
      <c r="SHA1" s="529"/>
      <c r="SHB1" s="529"/>
      <c r="SHC1" s="530"/>
      <c r="SHD1" s="529"/>
      <c r="SHE1" s="529"/>
      <c r="SHF1" s="529"/>
      <c r="SHG1" s="529"/>
      <c r="SHH1" s="529"/>
      <c r="SHI1" s="529"/>
      <c r="SHJ1" s="529"/>
      <c r="SHK1" s="530"/>
      <c r="SHL1" s="529"/>
      <c r="SHM1" s="529"/>
      <c r="SHN1" s="529"/>
      <c r="SHO1" s="529"/>
      <c r="SHP1" s="529"/>
      <c r="SHQ1" s="529"/>
      <c r="SHR1" s="529"/>
      <c r="SHS1" s="530"/>
      <c r="SHT1" s="529"/>
      <c r="SHU1" s="529"/>
      <c r="SHV1" s="529"/>
      <c r="SHW1" s="529"/>
      <c r="SHX1" s="529"/>
      <c r="SHY1" s="529"/>
      <c r="SHZ1" s="529"/>
      <c r="SIA1" s="530"/>
      <c r="SIB1" s="529"/>
      <c r="SIC1" s="529"/>
      <c r="SID1" s="529"/>
      <c r="SIE1" s="529"/>
      <c r="SIF1" s="529"/>
      <c r="SIG1" s="529"/>
      <c r="SIH1" s="529"/>
      <c r="SII1" s="530"/>
      <c r="SIJ1" s="529"/>
      <c r="SIK1" s="529"/>
      <c r="SIL1" s="529"/>
      <c r="SIM1" s="529"/>
      <c r="SIN1" s="529"/>
      <c r="SIO1" s="529"/>
      <c r="SIP1" s="529"/>
      <c r="SIQ1" s="530"/>
      <c r="SIR1" s="529"/>
      <c r="SIS1" s="529"/>
      <c r="SIT1" s="529"/>
      <c r="SIU1" s="529"/>
      <c r="SIV1" s="529"/>
      <c r="SIW1" s="529"/>
      <c r="SIX1" s="529"/>
      <c r="SIY1" s="530"/>
      <c r="SIZ1" s="529"/>
      <c r="SJA1" s="529"/>
      <c r="SJB1" s="529"/>
      <c r="SJC1" s="529"/>
      <c r="SJD1" s="529"/>
      <c r="SJE1" s="529"/>
      <c r="SJF1" s="529"/>
      <c r="SJG1" s="530"/>
      <c r="SJH1" s="529"/>
      <c r="SJI1" s="529"/>
      <c r="SJJ1" s="529"/>
      <c r="SJK1" s="529"/>
      <c r="SJL1" s="529"/>
      <c r="SJM1" s="529"/>
      <c r="SJN1" s="529"/>
      <c r="SJO1" s="530"/>
      <c r="SJP1" s="529"/>
      <c r="SJQ1" s="529"/>
      <c r="SJR1" s="529"/>
      <c r="SJS1" s="529"/>
      <c r="SJT1" s="529"/>
      <c r="SJU1" s="529"/>
      <c r="SJV1" s="529"/>
      <c r="SJW1" s="530"/>
      <c r="SJX1" s="529"/>
      <c r="SJY1" s="529"/>
      <c r="SJZ1" s="529"/>
      <c r="SKA1" s="529"/>
      <c r="SKB1" s="529"/>
      <c r="SKC1" s="529"/>
      <c r="SKD1" s="529"/>
      <c r="SKE1" s="530"/>
      <c r="SKF1" s="529"/>
      <c r="SKG1" s="529"/>
      <c r="SKH1" s="529"/>
      <c r="SKI1" s="529"/>
      <c r="SKJ1" s="529"/>
      <c r="SKK1" s="529"/>
      <c r="SKL1" s="529"/>
      <c r="SKM1" s="530"/>
      <c r="SKN1" s="529"/>
      <c r="SKO1" s="529"/>
      <c r="SKP1" s="529"/>
      <c r="SKQ1" s="529"/>
      <c r="SKR1" s="529"/>
      <c r="SKS1" s="529"/>
      <c r="SKT1" s="529"/>
      <c r="SKU1" s="530"/>
      <c r="SKV1" s="529"/>
      <c r="SKW1" s="529"/>
      <c r="SKX1" s="529"/>
      <c r="SKY1" s="529"/>
      <c r="SKZ1" s="529"/>
      <c r="SLA1" s="529"/>
      <c r="SLB1" s="529"/>
      <c r="SLC1" s="530"/>
      <c r="SLD1" s="529"/>
      <c r="SLE1" s="529"/>
      <c r="SLF1" s="529"/>
      <c r="SLG1" s="529"/>
      <c r="SLH1" s="529"/>
      <c r="SLI1" s="529"/>
      <c r="SLJ1" s="529"/>
      <c r="SLK1" s="530"/>
      <c r="SLL1" s="529"/>
      <c r="SLM1" s="529"/>
      <c r="SLN1" s="529"/>
      <c r="SLO1" s="529"/>
      <c r="SLP1" s="529"/>
      <c r="SLQ1" s="529"/>
      <c r="SLR1" s="529"/>
      <c r="SLS1" s="530"/>
      <c r="SLT1" s="529"/>
      <c r="SLU1" s="529"/>
      <c r="SLV1" s="529"/>
      <c r="SLW1" s="529"/>
      <c r="SLX1" s="529"/>
      <c r="SLY1" s="529"/>
      <c r="SLZ1" s="529"/>
      <c r="SMA1" s="530"/>
      <c r="SMB1" s="529"/>
      <c r="SMC1" s="529"/>
      <c r="SMD1" s="529"/>
      <c r="SME1" s="529"/>
      <c r="SMF1" s="529"/>
      <c r="SMG1" s="529"/>
      <c r="SMH1" s="529"/>
      <c r="SMI1" s="530"/>
      <c r="SMJ1" s="529"/>
      <c r="SMK1" s="529"/>
      <c r="SML1" s="529"/>
      <c r="SMM1" s="529"/>
      <c r="SMN1" s="529"/>
      <c r="SMO1" s="529"/>
      <c r="SMP1" s="529"/>
      <c r="SMQ1" s="530"/>
      <c r="SMR1" s="529"/>
      <c r="SMS1" s="529"/>
      <c r="SMT1" s="529"/>
      <c r="SMU1" s="529"/>
      <c r="SMV1" s="529"/>
      <c r="SMW1" s="529"/>
      <c r="SMX1" s="529"/>
      <c r="SMY1" s="530"/>
      <c r="SMZ1" s="529"/>
      <c r="SNA1" s="529"/>
      <c r="SNB1" s="529"/>
      <c r="SNC1" s="529"/>
      <c r="SND1" s="529"/>
      <c r="SNE1" s="529"/>
      <c r="SNF1" s="529"/>
      <c r="SNG1" s="530"/>
      <c r="SNH1" s="529"/>
      <c r="SNI1" s="529"/>
      <c r="SNJ1" s="529"/>
      <c r="SNK1" s="529"/>
      <c r="SNL1" s="529"/>
      <c r="SNM1" s="529"/>
      <c r="SNN1" s="529"/>
      <c r="SNO1" s="530"/>
      <c r="SNP1" s="529"/>
      <c r="SNQ1" s="529"/>
      <c r="SNR1" s="529"/>
      <c r="SNS1" s="529"/>
      <c r="SNT1" s="529"/>
      <c r="SNU1" s="529"/>
      <c r="SNV1" s="529"/>
      <c r="SNW1" s="530"/>
      <c r="SNX1" s="529"/>
      <c r="SNY1" s="529"/>
      <c r="SNZ1" s="529"/>
      <c r="SOA1" s="529"/>
      <c r="SOB1" s="529"/>
      <c r="SOC1" s="529"/>
      <c r="SOD1" s="529"/>
      <c r="SOE1" s="530"/>
      <c r="SOF1" s="529"/>
      <c r="SOG1" s="529"/>
      <c r="SOH1" s="529"/>
      <c r="SOI1" s="529"/>
      <c r="SOJ1" s="529"/>
      <c r="SOK1" s="529"/>
      <c r="SOL1" s="529"/>
      <c r="SOM1" s="530"/>
      <c r="SON1" s="529"/>
      <c r="SOO1" s="529"/>
      <c r="SOP1" s="529"/>
      <c r="SOQ1" s="529"/>
      <c r="SOR1" s="529"/>
      <c r="SOS1" s="529"/>
      <c r="SOT1" s="529"/>
      <c r="SOU1" s="530"/>
      <c r="SOV1" s="529"/>
      <c r="SOW1" s="529"/>
      <c r="SOX1" s="529"/>
      <c r="SOY1" s="529"/>
      <c r="SOZ1" s="529"/>
      <c r="SPA1" s="529"/>
      <c r="SPB1" s="529"/>
      <c r="SPC1" s="530"/>
      <c r="SPD1" s="529"/>
      <c r="SPE1" s="529"/>
      <c r="SPF1" s="529"/>
      <c r="SPG1" s="529"/>
      <c r="SPH1" s="529"/>
      <c r="SPI1" s="529"/>
      <c r="SPJ1" s="529"/>
      <c r="SPK1" s="530"/>
      <c r="SPL1" s="529"/>
      <c r="SPM1" s="529"/>
      <c r="SPN1" s="529"/>
      <c r="SPO1" s="529"/>
      <c r="SPP1" s="529"/>
      <c r="SPQ1" s="529"/>
      <c r="SPR1" s="529"/>
      <c r="SPS1" s="530"/>
      <c r="SPT1" s="529"/>
      <c r="SPU1" s="529"/>
      <c r="SPV1" s="529"/>
      <c r="SPW1" s="529"/>
      <c r="SPX1" s="529"/>
      <c r="SPY1" s="529"/>
      <c r="SPZ1" s="529"/>
      <c r="SQA1" s="530"/>
      <c r="SQB1" s="529"/>
      <c r="SQC1" s="529"/>
      <c r="SQD1" s="529"/>
      <c r="SQE1" s="529"/>
      <c r="SQF1" s="529"/>
      <c r="SQG1" s="529"/>
      <c r="SQH1" s="529"/>
      <c r="SQI1" s="530"/>
      <c r="SQJ1" s="529"/>
      <c r="SQK1" s="529"/>
      <c r="SQL1" s="529"/>
      <c r="SQM1" s="529"/>
      <c r="SQN1" s="529"/>
      <c r="SQO1" s="529"/>
      <c r="SQP1" s="529"/>
      <c r="SQQ1" s="530"/>
      <c r="SQR1" s="529"/>
      <c r="SQS1" s="529"/>
      <c r="SQT1" s="529"/>
      <c r="SQU1" s="529"/>
      <c r="SQV1" s="529"/>
      <c r="SQW1" s="529"/>
      <c r="SQX1" s="529"/>
      <c r="SQY1" s="530"/>
      <c r="SQZ1" s="529"/>
      <c r="SRA1" s="529"/>
      <c r="SRB1" s="529"/>
      <c r="SRC1" s="529"/>
      <c r="SRD1" s="529"/>
      <c r="SRE1" s="529"/>
      <c r="SRF1" s="529"/>
      <c r="SRG1" s="530"/>
      <c r="SRH1" s="529"/>
      <c r="SRI1" s="529"/>
      <c r="SRJ1" s="529"/>
      <c r="SRK1" s="529"/>
      <c r="SRL1" s="529"/>
      <c r="SRM1" s="529"/>
      <c r="SRN1" s="529"/>
      <c r="SRO1" s="530"/>
      <c r="SRP1" s="529"/>
      <c r="SRQ1" s="529"/>
      <c r="SRR1" s="529"/>
      <c r="SRS1" s="529"/>
      <c r="SRT1" s="529"/>
      <c r="SRU1" s="529"/>
      <c r="SRV1" s="529"/>
      <c r="SRW1" s="530"/>
      <c r="SRX1" s="529"/>
      <c r="SRY1" s="529"/>
      <c r="SRZ1" s="529"/>
      <c r="SSA1" s="529"/>
      <c r="SSB1" s="529"/>
      <c r="SSC1" s="529"/>
      <c r="SSD1" s="529"/>
      <c r="SSE1" s="530"/>
      <c r="SSF1" s="529"/>
      <c r="SSG1" s="529"/>
      <c r="SSH1" s="529"/>
      <c r="SSI1" s="529"/>
      <c r="SSJ1" s="529"/>
      <c r="SSK1" s="529"/>
      <c r="SSL1" s="529"/>
      <c r="SSM1" s="530"/>
      <c r="SSN1" s="529"/>
      <c r="SSO1" s="529"/>
      <c r="SSP1" s="529"/>
      <c r="SSQ1" s="529"/>
      <c r="SSR1" s="529"/>
      <c r="SSS1" s="529"/>
      <c r="SST1" s="529"/>
      <c r="SSU1" s="530"/>
      <c r="SSV1" s="529"/>
      <c r="SSW1" s="529"/>
      <c r="SSX1" s="529"/>
      <c r="SSY1" s="529"/>
      <c r="SSZ1" s="529"/>
      <c r="STA1" s="529"/>
      <c r="STB1" s="529"/>
      <c r="STC1" s="530"/>
      <c r="STD1" s="529"/>
      <c r="STE1" s="529"/>
      <c r="STF1" s="529"/>
      <c r="STG1" s="529"/>
      <c r="STH1" s="529"/>
      <c r="STI1" s="529"/>
      <c r="STJ1" s="529"/>
      <c r="STK1" s="530"/>
      <c r="STL1" s="529"/>
      <c r="STM1" s="529"/>
      <c r="STN1" s="529"/>
      <c r="STO1" s="529"/>
      <c r="STP1" s="529"/>
      <c r="STQ1" s="529"/>
      <c r="STR1" s="529"/>
      <c r="STS1" s="530"/>
      <c r="STT1" s="529"/>
      <c r="STU1" s="529"/>
      <c r="STV1" s="529"/>
      <c r="STW1" s="529"/>
      <c r="STX1" s="529"/>
      <c r="STY1" s="529"/>
      <c r="STZ1" s="529"/>
      <c r="SUA1" s="530"/>
      <c r="SUB1" s="529"/>
      <c r="SUC1" s="529"/>
      <c r="SUD1" s="529"/>
      <c r="SUE1" s="529"/>
      <c r="SUF1" s="529"/>
      <c r="SUG1" s="529"/>
      <c r="SUH1" s="529"/>
      <c r="SUI1" s="530"/>
      <c r="SUJ1" s="529"/>
      <c r="SUK1" s="529"/>
      <c r="SUL1" s="529"/>
      <c r="SUM1" s="529"/>
      <c r="SUN1" s="529"/>
      <c r="SUO1" s="529"/>
      <c r="SUP1" s="529"/>
      <c r="SUQ1" s="530"/>
      <c r="SUR1" s="529"/>
      <c r="SUS1" s="529"/>
      <c r="SUT1" s="529"/>
      <c r="SUU1" s="529"/>
      <c r="SUV1" s="529"/>
      <c r="SUW1" s="529"/>
      <c r="SUX1" s="529"/>
      <c r="SUY1" s="530"/>
      <c r="SUZ1" s="529"/>
      <c r="SVA1" s="529"/>
      <c r="SVB1" s="529"/>
      <c r="SVC1" s="529"/>
      <c r="SVD1" s="529"/>
      <c r="SVE1" s="529"/>
      <c r="SVF1" s="529"/>
      <c r="SVG1" s="530"/>
      <c r="SVH1" s="529"/>
      <c r="SVI1" s="529"/>
      <c r="SVJ1" s="529"/>
      <c r="SVK1" s="529"/>
      <c r="SVL1" s="529"/>
      <c r="SVM1" s="529"/>
      <c r="SVN1" s="529"/>
      <c r="SVO1" s="530"/>
      <c r="SVP1" s="529"/>
      <c r="SVQ1" s="529"/>
      <c r="SVR1" s="529"/>
      <c r="SVS1" s="529"/>
      <c r="SVT1" s="529"/>
      <c r="SVU1" s="529"/>
      <c r="SVV1" s="529"/>
      <c r="SVW1" s="530"/>
      <c r="SVX1" s="529"/>
      <c r="SVY1" s="529"/>
      <c r="SVZ1" s="529"/>
      <c r="SWA1" s="529"/>
      <c r="SWB1" s="529"/>
      <c r="SWC1" s="529"/>
      <c r="SWD1" s="529"/>
      <c r="SWE1" s="530"/>
      <c r="SWF1" s="529"/>
      <c r="SWG1" s="529"/>
      <c r="SWH1" s="529"/>
      <c r="SWI1" s="529"/>
      <c r="SWJ1" s="529"/>
      <c r="SWK1" s="529"/>
      <c r="SWL1" s="529"/>
      <c r="SWM1" s="530"/>
      <c r="SWN1" s="529"/>
      <c r="SWO1" s="529"/>
      <c r="SWP1" s="529"/>
      <c r="SWQ1" s="529"/>
      <c r="SWR1" s="529"/>
      <c r="SWS1" s="529"/>
      <c r="SWT1" s="529"/>
      <c r="SWU1" s="530"/>
      <c r="SWV1" s="529"/>
      <c r="SWW1" s="529"/>
      <c r="SWX1" s="529"/>
      <c r="SWY1" s="529"/>
      <c r="SWZ1" s="529"/>
      <c r="SXA1" s="529"/>
      <c r="SXB1" s="529"/>
      <c r="SXC1" s="530"/>
      <c r="SXD1" s="529"/>
      <c r="SXE1" s="529"/>
      <c r="SXF1" s="529"/>
      <c r="SXG1" s="529"/>
      <c r="SXH1" s="529"/>
      <c r="SXI1" s="529"/>
      <c r="SXJ1" s="529"/>
      <c r="SXK1" s="530"/>
      <c r="SXL1" s="529"/>
      <c r="SXM1" s="529"/>
      <c r="SXN1" s="529"/>
      <c r="SXO1" s="529"/>
      <c r="SXP1" s="529"/>
      <c r="SXQ1" s="529"/>
      <c r="SXR1" s="529"/>
      <c r="SXS1" s="530"/>
      <c r="SXT1" s="529"/>
      <c r="SXU1" s="529"/>
      <c r="SXV1" s="529"/>
      <c r="SXW1" s="529"/>
      <c r="SXX1" s="529"/>
      <c r="SXY1" s="529"/>
      <c r="SXZ1" s="529"/>
      <c r="SYA1" s="530"/>
      <c r="SYB1" s="529"/>
      <c r="SYC1" s="529"/>
      <c r="SYD1" s="529"/>
      <c r="SYE1" s="529"/>
      <c r="SYF1" s="529"/>
      <c r="SYG1" s="529"/>
      <c r="SYH1" s="529"/>
      <c r="SYI1" s="530"/>
      <c r="SYJ1" s="529"/>
      <c r="SYK1" s="529"/>
      <c r="SYL1" s="529"/>
      <c r="SYM1" s="529"/>
      <c r="SYN1" s="529"/>
      <c r="SYO1" s="529"/>
      <c r="SYP1" s="529"/>
      <c r="SYQ1" s="530"/>
      <c r="SYR1" s="529"/>
      <c r="SYS1" s="529"/>
      <c r="SYT1" s="529"/>
      <c r="SYU1" s="529"/>
      <c r="SYV1" s="529"/>
      <c r="SYW1" s="529"/>
      <c r="SYX1" s="529"/>
      <c r="SYY1" s="530"/>
      <c r="SYZ1" s="529"/>
      <c r="SZA1" s="529"/>
      <c r="SZB1" s="529"/>
      <c r="SZC1" s="529"/>
      <c r="SZD1" s="529"/>
      <c r="SZE1" s="529"/>
      <c r="SZF1" s="529"/>
      <c r="SZG1" s="530"/>
      <c r="SZH1" s="529"/>
      <c r="SZI1" s="529"/>
      <c r="SZJ1" s="529"/>
      <c r="SZK1" s="529"/>
      <c r="SZL1" s="529"/>
      <c r="SZM1" s="529"/>
      <c r="SZN1" s="529"/>
      <c r="SZO1" s="530"/>
      <c r="SZP1" s="529"/>
      <c r="SZQ1" s="529"/>
      <c r="SZR1" s="529"/>
      <c r="SZS1" s="529"/>
      <c r="SZT1" s="529"/>
      <c r="SZU1" s="529"/>
      <c r="SZV1" s="529"/>
      <c r="SZW1" s="530"/>
      <c r="SZX1" s="529"/>
      <c r="SZY1" s="529"/>
      <c r="SZZ1" s="529"/>
      <c r="TAA1" s="529"/>
      <c r="TAB1" s="529"/>
      <c r="TAC1" s="529"/>
      <c r="TAD1" s="529"/>
      <c r="TAE1" s="530"/>
      <c r="TAF1" s="529"/>
      <c r="TAG1" s="529"/>
      <c r="TAH1" s="529"/>
      <c r="TAI1" s="529"/>
      <c r="TAJ1" s="529"/>
      <c r="TAK1" s="529"/>
      <c r="TAL1" s="529"/>
      <c r="TAM1" s="530"/>
      <c r="TAN1" s="529"/>
      <c r="TAO1" s="529"/>
      <c r="TAP1" s="529"/>
      <c r="TAQ1" s="529"/>
      <c r="TAR1" s="529"/>
      <c r="TAS1" s="529"/>
      <c r="TAT1" s="529"/>
      <c r="TAU1" s="530"/>
      <c r="TAV1" s="529"/>
      <c r="TAW1" s="529"/>
      <c r="TAX1" s="529"/>
      <c r="TAY1" s="529"/>
      <c r="TAZ1" s="529"/>
      <c r="TBA1" s="529"/>
      <c r="TBB1" s="529"/>
      <c r="TBC1" s="530"/>
      <c r="TBD1" s="529"/>
      <c r="TBE1" s="529"/>
      <c r="TBF1" s="529"/>
      <c r="TBG1" s="529"/>
      <c r="TBH1" s="529"/>
      <c r="TBI1" s="529"/>
      <c r="TBJ1" s="529"/>
      <c r="TBK1" s="530"/>
      <c r="TBL1" s="529"/>
      <c r="TBM1" s="529"/>
      <c r="TBN1" s="529"/>
      <c r="TBO1" s="529"/>
      <c r="TBP1" s="529"/>
      <c r="TBQ1" s="529"/>
      <c r="TBR1" s="529"/>
      <c r="TBS1" s="530"/>
      <c r="TBT1" s="529"/>
      <c r="TBU1" s="529"/>
      <c r="TBV1" s="529"/>
      <c r="TBW1" s="529"/>
      <c r="TBX1" s="529"/>
      <c r="TBY1" s="529"/>
      <c r="TBZ1" s="529"/>
      <c r="TCA1" s="530"/>
      <c r="TCB1" s="529"/>
      <c r="TCC1" s="529"/>
      <c r="TCD1" s="529"/>
      <c r="TCE1" s="529"/>
      <c r="TCF1" s="529"/>
      <c r="TCG1" s="529"/>
      <c r="TCH1" s="529"/>
      <c r="TCI1" s="530"/>
      <c r="TCJ1" s="529"/>
      <c r="TCK1" s="529"/>
      <c r="TCL1" s="529"/>
      <c r="TCM1" s="529"/>
      <c r="TCN1" s="529"/>
      <c r="TCO1" s="529"/>
      <c r="TCP1" s="529"/>
      <c r="TCQ1" s="530"/>
      <c r="TCR1" s="529"/>
      <c r="TCS1" s="529"/>
      <c r="TCT1" s="529"/>
      <c r="TCU1" s="529"/>
      <c r="TCV1" s="529"/>
      <c r="TCW1" s="529"/>
      <c r="TCX1" s="529"/>
      <c r="TCY1" s="530"/>
      <c r="TCZ1" s="529"/>
      <c r="TDA1" s="529"/>
      <c r="TDB1" s="529"/>
      <c r="TDC1" s="529"/>
      <c r="TDD1" s="529"/>
      <c r="TDE1" s="529"/>
      <c r="TDF1" s="529"/>
      <c r="TDG1" s="530"/>
      <c r="TDH1" s="529"/>
      <c r="TDI1" s="529"/>
      <c r="TDJ1" s="529"/>
      <c r="TDK1" s="529"/>
      <c r="TDL1" s="529"/>
      <c r="TDM1" s="529"/>
      <c r="TDN1" s="529"/>
      <c r="TDO1" s="530"/>
      <c r="TDP1" s="529"/>
      <c r="TDQ1" s="529"/>
      <c r="TDR1" s="529"/>
      <c r="TDS1" s="529"/>
      <c r="TDT1" s="529"/>
      <c r="TDU1" s="529"/>
      <c r="TDV1" s="529"/>
      <c r="TDW1" s="530"/>
      <c r="TDX1" s="529"/>
      <c r="TDY1" s="529"/>
      <c r="TDZ1" s="529"/>
      <c r="TEA1" s="529"/>
      <c r="TEB1" s="529"/>
      <c r="TEC1" s="529"/>
      <c r="TED1" s="529"/>
      <c r="TEE1" s="530"/>
      <c r="TEF1" s="529"/>
      <c r="TEG1" s="529"/>
      <c r="TEH1" s="529"/>
      <c r="TEI1" s="529"/>
      <c r="TEJ1" s="529"/>
      <c r="TEK1" s="529"/>
      <c r="TEL1" s="529"/>
      <c r="TEM1" s="530"/>
      <c r="TEN1" s="529"/>
      <c r="TEO1" s="529"/>
      <c r="TEP1" s="529"/>
      <c r="TEQ1" s="529"/>
      <c r="TER1" s="529"/>
      <c r="TES1" s="529"/>
      <c r="TET1" s="529"/>
      <c r="TEU1" s="530"/>
      <c r="TEV1" s="529"/>
      <c r="TEW1" s="529"/>
      <c r="TEX1" s="529"/>
      <c r="TEY1" s="529"/>
      <c r="TEZ1" s="529"/>
      <c r="TFA1" s="529"/>
      <c r="TFB1" s="529"/>
      <c r="TFC1" s="530"/>
      <c r="TFD1" s="529"/>
      <c r="TFE1" s="529"/>
      <c r="TFF1" s="529"/>
      <c r="TFG1" s="529"/>
      <c r="TFH1" s="529"/>
      <c r="TFI1" s="529"/>
      <c r="TFJ1" s="529"/>
      <c r="TFK1" s="530"/>
      <c r="TFL1" s="529"/>
      <c r="TFM1" s="529"/>
      <c r="TFN1" s="529"/>
      <c r="TFO1" s="529"/>
      <c r="TFP1" s="529"/>
      <c r="TFQ1" s="529"/>
      <c r="TFR1" s="529"/>
      <c r="TFS1" s="530"/>
      <c r="TFT1" s="529"/>
      <c r="TFU1" s="529"/>
      <c r="TFV1" s="529"/>
      <c r="TFW1" s="529"/>
      <c r="TFX1" s="529"/>
      <c r="TFY1" s="529"/>
      <c r="TFZ1" s="529"/>
      <c r="TGA1" s="530"/>
      <c r="TGB1" s="529"/>
      <c r="TGC1" s="529"/>
      <c r="TGD1" s="529"/>
      <c r="TGE1" s="529"/>
      <c r="TGF1" s="529"/>
      <c r="TGG1" s="529"/>
      <c r="TGH1" s="529"/>
      <c r="TGI1" s="530"/>
      <c r="TGJ1" s="529"/>
      <c r="TGK1" s="529"/>
      <c r="TGL1" s="529"/>
      <c r="TGM1" s="529"/>
      <c r="TGN1" s="529"/>
      <c r="TGO1" s="529"/>
      <c r="TGP1" s="529"/>
      <c r="TGQ1" s="530"/>
      <c r="TGR1" s="529"/>
      <c r="TGS1" s="529"/>
      <c r="TGT1" s="529"/>
      <c r="TGU1" s="529"/>
      <c r="TGV1" s="529"/>
      <c r="TGW1" s="529"/>
      <c r="TGX1" s="529"/>
      <c r="TGY1" s="530"/>
      <c r="TGZ1" s="529"/>
      <c r="THA1" s="529"/>
      <c r="THB1" s="529"/>
      <c r="THC1" s="529"/>
      <c r="THD1" s="529"/>
      <c r="THE1" s="529"/>
      <c r="THF1" s="529"/>
      <c r="THG1" s="530"/>
      <c r="THH1" s="529"/>
      <c r="THI1" s="529"/>
      <c r="THJ1" s="529"/>
      <c r="THK1" s="529"/>
      <c r="THL1" s="529"/>
      <c r="THM1" s="529"/>
      <c r="THN1" s="529"/>
      <c r="THO1" s="530"/>
      <c r="THP1" s="529"/>
      <c r="THQ1" s="529"/>
      <c r="THR1" s="529"/>
      <c r="THS1" s="529"/>
      <c r="THT1" s="529"/>
      <c r="THU1" s="529"/>
      <c r="THV1" s="529"/>
      <c r="THW1" s="530"/>
      <c r="THX1" s="529"/>
      <c r="THY1" s="529"/>
      <c r="THZ1" s="529"/>
      <c r="TIA1" s="529"/>
      <c r="TIB1" s="529"/>
      <c r="TIC1" s="529"/>
      <c r="TID1" s="529"/>
      <c r="TIE1" s="530"/>
      <c r="TIF1" s="529"/>
      <c r="TIG1" s="529"/>
      <c r="TIH1" s="529"/>
      <c r="TII1" s="529"/>
      <c r="TIJ1" s="529"/>
      <c r="TIK1" s="529"/>
      <c r="TIL1" s="529"/>
      <c r="TIM1" s="530"/>
      <c r="TIN1" s="529"/>
      <c r="TIO1" s="529"/>
      <c r="TIP1" s="529"/>
      <c r="TIQ1" s="529"/>
      <c r="TIR1" s="529"/>
      <c r="TIS1" s="529"/>
      <c r="TIT1" s="529"/>
      <c r="TIU1" s="530"/>
      <c r="TIV1" s="529"/>
      <c r="TIW1" s="529"/>
      <c r="TIX1" s="529"/>
      <c r="TIY1" s="529"/>
      <c r="TIZ1" s="529"/>
      <c r="TJA1" s="529"/>
      <c r="TJB1" s="529"/>
      <c r="TJC1" s="530"/>
      <c r="TJD1" s="529"/>
      <c r="TJE1" s="529"/>
      <c r="TJF1" s="529"/>
      <c r="TJG1" s="529"/>
      <c r="TJH1" s="529"/>
      <c r="TJI1" s="529"/>
      <c r="TJJ1" s="529"/>
      <c r="TJK1" s="530"/>
      <c r="TJL1" s="529"/>
      <c r="TJM1" s="529"/>
      <c r="TJN1" s="529"/>
      <c r="TJO1" s="529"/>
      <c r="TJP1" s="529"/>
      <c r="TJQ1" s="529"/>
      <c r="TJR1" s="529"/>
      <c r="TJS1" s="530"/>
      <c r="TJT1" s="529"/>
      <c r="TJU1" s="529"/>
      <c r="TJV1" s="529"/>
      <c r="TJW1" s="529"/>
      <c r="TJX1" s="529"/>
      <c r="TJY1" s="529"/>
      <c r="TJZ1" s="529"/>
      <c r="TKA1" s="530"/>
      <c r="TKB1" s="529"/>
      <c r="TKC1" s="529"/>
      <c r="TKD1" s="529"/>
      <c r="TKE1" s="529"/>
      <c r="TKF1" s="529"/>
      <c r="TKG1" s="529"/>
      <c r="TKH1" s="529"/>
      <c r="TKI1" s="530"/>
      <c r="TKJ1" s="529"/>
      <c r="TKK1" s="529"/>
      <c r="TKL1" s="529"/>
      <c r="TKM1" s="529"/>
      <c r="TKN1" s="529"/>
      <c r="TKO1" s="529"/>
      <c r="TKP1" s="529"/>
      <c r="TKQ1" s="530"/>
      <c r="TKR1" s="529"/>
      <c r="TKS1" s="529"/>
      <c r="TKT1" s="529"/>
      <c r="TKU1" s="529"/>
      <c r="TKV1" s="529"/>
      <c r="TKW1" s="529"/>
      <c r="TKX1" s="529"/>
      <c r="TKY1" s="530"/>
      <c r="TKZ1" s="529"/>
      <c r="TLA1" s="529"/>
      <c r="TLB1" s="529"/>
      <c r="TLC1" s="529"/>
      <c r="TLD1" s="529"/>
      <c r="TLE1" s="529"/>
      <c r="TLF1" s="529"/>
      <c r="TLG1" s="530"/>
      <c r="TLH1" s="529"/>
      <c r="TLI1" s="529"/>
      <c r="TLJ1" s="529"/>
      <c r="TLK1" s="529"/>
      <c r="TLL1" s="529"/>
      <c r="TLM1" s="529"/>
      <c r="TLN1" s="529"/>
      <c r="TLO1" s="530"/>
      <c r="TLP1" s="529"/>
      <c r="TLQ1" s="529"/>
      <c r="TLR1" s="529"/>
      <c r="TLS1" s="529"/>
      <c r="TLT1" s="529"/>
      <c r="TLU1" s="529"/>
      <c r="TLV1" s="529"/>
      <c r="TLW1" s="530"/>
      <c r="TLX1" s="529"/>
      <c r="TLY1" s="529"/>
      <c r="TLZ1" s="529"/>
      <c r="TMA1" s="529"/>
      <c r="TMB1" s="529"/>
      <c r="TMC1" s="529"/>
      <c r="TMD1" s="529"/>
      <c r="TME1" s="530"/>
      <c r="TMF1" s="529"/>
      <c r="TMG1" s="529"/>
      <c r="TMH1" s="529"/>
      <c r="TMI1" s="529"/>
      <c r="TMJ1" s="529"/>
      <c r="TMK1" s="529"/>
      <c r="TML1" s="529"/>
      <c r="TMM1" s="530"/>
      <c r="TMN1" s="529"/>
      <c r="TMO1" s="529"/>
      <c r="TMP1" s="529"/>
      <c r="TMQ1" s="529"/>
      <c r="TMR1" s="529"/>
      <c r="TMS1" s="529"/>
      <c r="TMT1" s="529"/>
      <c r="TMU1" s="530"/>
      <c r="TMV1" s="529"/>
      <c r="TMW1" s="529"/>
      <c r="TMX1" s="529"/>
      <c r="TMY1" s="529"/>
      <c r="TMZ1" s="529"/>
      <c r="TNA1" s="529"/>
      <c r="TNB1" s="529"/>
      <c r="TNC1" s="530"/>
      <c r="TND1" s="529"/>
      <c r="TNE1" s="529"/>
      <c r="TNF1" s="529"/>
      <c r="TNG1" s="529"/>
      <c r="TNH1" s="529"/>
      <c r="TNI1" s="529"/>
      <c r="TNJ1" s="529"/>
      <c r="TNK1" s="530"/>
      <c r="TNL1" s="529"/>
      <c r="TNM1" s="529"/>
      <c r="TNN1" s="529"/>
      <c r="TNO1" s="529"/>
      <c r="TNP1" s="529"/>
      <c r="TNQ1" s="529"/>
      <c r="TNR1" s="529"/>
      <c r="TNS1" s="530"/>
      <c r="TNT1" s="529"/>
      <c r="TNU1" s="529"/>
      <c r="TNV1" s="529"/>
      <c r="TNW1" s="529"/>
      <c r="TNX1" s="529"/>
      <c r="TNY1" s="529"/>
      <c r="TNZ1" s="529"/>
      <c r="TOA1" s="530"/>
      <c r="TOB1" s="529"/>
      <c r="TOC1" s="529"/>
      <c r="TOD1" s="529"/>
      <c r="TOE1" s="529"/>
      <c r="TOF1" s="529"/>
      <c r="TOG1" s="529"/>
      <c r="TOH1" s="529"/>
      <c r="TOI1" s="530"/>
      <c r="TOJ1" s="529"/>
      <c r="TOK1" s="529"/>
      <c r="TOL1" s="529"/>
      <c r="TOM1" s="529"/>
      <c r="TON1" s="529"/>
      <c r="TOO1" s="529"/>
      <c r="TOP1" s="529"/>
      <c r="TOQ1" s="530"/>
      <c r="TOR1" s="529"/>
      <c r="TOS1" s="529"/>
      <c r="TOT1" s="529"/>
      <c r="TOU1" s="529"/>
      <c r="TOV1" s="529"/>
      <c r="TOW1" s="529"/>
      <c r="TOX1" s="529"/>
      <c r="TOY1" s="530"/>
      <c r="TOZ1" s="529"/>
      <c r="TPA1" s="529"/>
      <c r="TPB1" s="529"/>
      <c r="TPC1" s="529"/>
      <c r="TPD1" s="529"/>
      <c r="TPE1" s="529"/>
      <c r="TPF1" s="529"/>
      <c r="TPG1" s="530"/>
      <c r="TPH1" s="529"/>
      <c r="TPI1" s="529"/>
      <c r="TPJ1" s="529"/>
      <c r="TPK1" s="529"/>
      <c r="TPL1" s="529"/>
      <c r="TPM1" s="529"/>
      <c r="TPN1" s="529"/>
      <c r="TPO1" s="530"/>
      <c r="TPP1" s="529"/>
      <c r="TPQ1" s="529"/>
      <c r="TPR1" s="529"/>
      <c r="TPS1" s="529"/>
      <c r="TPT1" s="529"/>
      <c r="TPU1" s="529"/>
      <c r="TPV1" s="529"/>
      <c r="TPW1" s="530"/>
      <c r="TPX1" s="529"/>
      <c r="TPY1" s="529"/>
      <c r="TPZ1" s="529"/>
      <c r="TQA1" s="529"/>
      <c r="TQB1" s="529"/>
      <c r="TQC1" s="529"/>
      <c r="TQD1" s="529"/>
      <c r="TQE1" s="530"/>
      <c r="TQF1" s="529"/>
      <c r="TQG1" s="529"/>
      <c r="TQH1" s="529"/>
      <c r="TQI1" s="529"/>
      <c r="TQJ1" s="529"/>
      <c r="TQK1" s="529"/>
      <c r="TQL1" s="529"/>
      <c r="TQM1" s="530"/>
      <c r="TQN1" s="529"/>
      <c r="TQO1" s="529"/>
      <c r="TQP1" s="529"/>
      <c r="TQQ1" s="529"/>
      <c r="TQR1" s="529"/>
      <c r="TQS1" s="529"/>
      <c r="TQT1" s="529"/>
      <c r="TQU1" s="530"/>
      <c r="TQV1" s="529"/>
      <c r="TQW1" s="529"/>
      <c r="TQX1" s="529"/>
      <c r="TQY1" s="529"/>
      <c r="TQZ1" s="529"/>
      <c r="TRA1" s="529"/>
      <c r="TRB1" s="529"/>
      <c r="TRC1" s="530"/>
      <c r="TRD1" s="529"/>
      <c r="TRE1" s="529"/>
      <c r="TRF1" s="529"/>
      <c r="TRG1" s="529"/>
      <c r="TRH1" s="529"/>
      <c r="TRI1" s="529"/>
      <c r="TRJ1" s="529"/>
      <c r="TRK1" s="530"/>
      <c r="TRL1" s="529"/>
      <c r="TRM1" s="529"/>
      <c r="TRN1" s="529"/>
      <c r="TRO1" s="529"/>
      <c r="TRP1" s="529"/>
      <c r="TRQ1" s="529"/>
      <c r="TRR1" s="529"/>
      <c r="TRS1" s="530"/>
      <c r="TRT1" s="529"/>
      <c r="TRU1" s="529"/>
      <c r="TRV1" s="529"/>
      <c r="TRW1" s="529"/>
      <c r="TRX1" s="529"/>
      <c r="TRY1" s="529"/>
      <c r="TRZ1" s="529"/>
      <c r="TSA1" s="530"/>
      <c r="TSB1" s="529"/>
      <c r="TSC1" s="529"/>
      <c r="TSD1" s="529"/>
      <c r="TSE1" s="529"/>
      <c r="TSF1" s="529"/>
      <c r="TSG1" s="529"/>
      <c r="TSH1" s="529"/>
      <c r="TSI1" s="530"/>
      <c r="TSJ1" s="529"/>
      <c r="TSK1" s="529"/>
      <c r="TSL1" s="529"/>
      <c r="TSM1" s="529"/>
      <c r="TSN1" s="529"/>
      <c r="TSO1" s="529"/>
      <c r="TSP1" s="529"/>
      <c r="TSQ1" s="530"/>
      <c r="TSR1" s="529"/>
      <c r="TSS1" s="529"/>
      <c r="TST1" s="529"/>
      <c r="TSU1" s="529"/>
      <c r="TSV1" s="529"/>
      <c r="TSW1" s="529"/>
      <c r="TSX1" s="529"/>
      <c r="TSY1" s="530"/>
      <c r="TSZ1" s="529"/>
      <c r="TTA1" s="529"/>
      <c r="TTB1" s="529"/>
      <c r="TTC1" s="529"/>
      <c r="TTD1" s="529"/>
      <c r="TTE1" s="529"/>
      <c r="TTF1" s="529"/>
      <c r="TTG1" s="530"/>
      <c r="TTH1" s="529"/>
      <c r="TTI1" s="529"/>
      <c r="TTJ1" s="529"/>
      <c r="TTK1" s="529"/>
      <c r="TTL1" s="529"/>
      <c r="TTM1" s="529"/>
      <c r="TTN1" s="529"/>
      <c r="TTO1" s="530"/>
      <c r="TTP1" s="529"/>
      <c r="TTQ1" s="529"/>
      <c r="TTR1" s="529"/>
      <c r="TTS1" s="529"/>
      <c r="TTT1" s="529"/>
      <c r="TTU1" s="529"/>
      <c r="TTV1" s="529"/>
      <c r="TTW1" s="530"/>
      <c r="TTX1" s="529"/>
      <c r="TTY1" s="529"/>
      <c r="TTZ1" s="529"/>
      <c r="TUA1" s="529"/>
      <c r="TUB1" s="529"/>
      <c r="TUC1" s="529"/>
      <c r="TUD1" s="529"/>
      <c r="TUE1" s="530"/>
      <c r="TUF1" s="529"/>
      <c r="TUG1" s="529"/>
      <c r="TUH1" s="529"/>
      <c r="TUI1" s="529"/>
      <c r="TUJ1" s="529"/>
      <c r="TUK1" s="529"/>
      <c r="TUL1" s="529"/>
      <c r="TUM1" s="530"/>
      <c r="TUN1" s="529"/>
      <c r="TUO1" s="529"/>
      <c r="TUP1" s="529"/>
      <c r="TUQ1" s="529"/>
      <c r="TUR1" s="529"/>
      <c r="TUS1" s="529"/>
      <c r="TUT1" s="529"/>
      <c r="TUU1" s="530"/>
      <c r="TUV1" s="529"/>
      <c r="TUW1" s="529"/>
      <c r="TUX1" s="529"/>
      <c r="TUY1" s="529"/>
      <c r="TUZ1" s="529"/>
      <c r="TVA1" s="529"/>
      <c r="TVB1" s="529"/>
      <c r="TVC1" s="530"/>
      <c r="TVD1" s="529"/>
      <c r="TVE1" s="529"/>
      <c r="TVF1" s="529"/>
      <c r="TVG1" s="529"/>
      <c r="TVH1" s="529"/>
      <c r="TVI1" s="529"/>
      <c r="TVJ1" s="529"/>
      <c r="TVK1" s="530"/>
      <c r="TVL1" s="529"/>
      <c r="TVM1" s="529"/>
      <c r="TVN1" s="529"/>
      <c r="TVO1" s="529"/>
      <c r="TVP1" s="529"/>
      <c r="TVQ1" s="529"/>
      <c r="TVR1" s="529"/>
      <c r="TVS1" s="530"/>
      <c r="TVT1" s="529"/>
      <c r="TVU1" s="529"/>
      <c r="TVV1" s="529"/>
      <c r="TVW1" s="529"/>
      <c r="TVX1" s="529"/>
      <c r="TVY1" s="529"/>
      <c r="TVZ1" s="529"/>
      <c r="TWA1" s="530"/>
      <c r="TWB1" s="529"/>
      <c r="TWC1" s="529"/>
      <c r="TWD1" s="529"/>
      <c r="TWE1" s="529"/>
      <c r="TWF1" s="529"/>
      <c r="TWG1" s="529"/>
      <c r="TWH1" s="529"/>
      <c r="TWI1" s="530"/>
      <c r="TWJ1" s="529"/>
      <c r="TWK1" s="529"/>
      <c r="TWL1" s="529"/>
      <c r="TWM1" s="529"/>
      <c r="TWN1" s="529"/>
      <c r="TWO1" s="529"/>
      <c r="TWP1" s="529"/>
      <c r="TWQ1" s="530"/>
      <c r="TWR1" s="529"/>
      <c r="TWS1" s="529"/>
      <c r="TWT1" s="529"/>
      <c r="TWU1" s="529"/>
      <c r="TWV1" s="529"/>
      <c r="TWW1" s="529"/>
      <c r="TWX1" s="529"/>
      <c r="TWY1" s="530"/>
      <c r="TWZ1" s="529"/>
      <c r="TXA1" s="529"/>
      <c r="TXB1" s="529"/>
      <c r="TXC1" s="529"/>
      <c r="TXD1" s="529"/>
      <c r="TXE1" s="529"/>
      <c r="TXF1" s="529"/>
      <c r="TXG1" s="530"/>
      <c r="TXH1" s="529"/>
      <c r="TXI1" s="529"/>
      <c r="TXJ1" s="529"/>
      <c r="TXK1" s="529"/>
      <c r="TXL1" s="529"/>
      <c r="TXM1" s="529"/>
      <c r="TXN1" s="529"/>
      <c r="TXO1" s="530"/>
      <c r="TXP1" s="529"/>
      <c r="TXQ1" s="529"/>
      <c r="TXR1" s="529"/>
      <c r="TXS1" s="529"/>
      <c r="TXT1" s="529"/>
      <c r="TXU1" s="529"/>
      <c r="TXV1" s="529"/>
      <c r="TXW1" s="530"/>
      <c r="TXX1" s="529"/>
      <c r="TXY1" s="529"/>
      <c r="TXZ1" s="529"/>
      <c r="TYA1" s="529"/>
      <c r="TYB1" s="529"/>
      <c r="TYC1" s="529"/>
      <c r="TYD1" s="529"/>
      <c r="TYE1" s="530"/>
      <c r="TYF1" s="529"/>
      <c r="TYG1" s="529"/>
      <c r="TYH1" s="529"/>
      <c r="TYI1" s="529"/>
      <c r="TYJ1" s="529"/>
      <c r="TYK1" s="529"/>
      <c r="TYL1" s="529"/>
      <c r="TYM1" s="530"/>
      <c r="TYN1" s="529"/>
      <c r="TYO1" s="529"/>
      <c r="TYP1" s="529"/>
      <c r="TYQ1" s="529"/>
      <c r="TYR1" s="529"/>
      <c r="TYS1" s="529"/>
      <c r="TYT1" s="529"/>
      <c r="TYU1" s="530"/>
      <c r="TYV1" s="529"/>
      <c r="TYW1" s="529"/>
      <c r="TYX1" s="529"/>
      <c r="TYY1" s="529"/>
      <c r="TYZ1" s="529"/>
      <c r="TZA1" s="529"/>
      <c r="TZB1" s="529"/>
      <c r="TZC1" s="530"/>
      <c r="TZD1" s="529"/>
      <c r="TZE1" s="529"/>
      <c r="TZF1" s="529"/>
      <c r="TZG1" s="529"/>
      <c r="TZH1" s="529"/>
      <c r="TZI1" s="529"/>
      <c r="TZJ1" s="529"/>
      <c r="TZK1" s="530"/>
      <c r="TZL1" s="529"/>
      <c r="TZM1" s="529"/>
      <c r="TZN1" s="529"/>
      <c r="TZO1" s="529"/>
      <c r="TZP1" s="529"/>
      <c r="TZQ1" s="529"/>
      <c r="TZR1" s="529"/>
      <c r="TZS1" s="530"/>
      <c r="TZT1" s="529"/>
      <c r="TZU1" s="529"/>
      <c r="TZV1" s="529"/>
      <c r="TZW1" s="529"/>
      <c r="TZX1" s="529"/>
      <c r="TZY1" s="529"/>
      <c r="TZZ1" s="529"/>
      <c r="UAA1" s="530"/>
      <c r="UAB1" s="529"/>
      <c r="UAC1" s="529"/>
      <c r="UAD1" s="529"/>
      <c r="UAE1" s="529"/>
      <c r="UAF1" s="529"/>
      <c r="UAG1" s="529"/>
      <c r="UAH1" s="529"/>
      <c r="UAI1" s="530"/>
      <c r="UAJ1" s="529"/>
      <c r="UAK1" s="529"/>
      <c r="UAL1" s="529"/>
      <c r="UAM1" s="529"/>
      <c r="UAN1" s="529"/>
      <c r="UAO1" s="529"/>
      <c r="UAP1" s="529"/>
      <c r="UAQ1" s="530"/>
      <c r="UAR1" s="529"/>
      <c r="UAS1" s="529"/>
      <c r="UAT1" s="529"/>
      <c r="UAU1" s="529"/>
      <c r="UAV1" s="529"/>
      <c r="UAW1" s="529"/>
      <c r="UAX1" s="529"/>
      <c r="UAY1" s="530"/>
      <c r="UAZ1" s="529"/>
      <c r="UBA1" s="529"/>
      <c r="UBB1" s="529"/>
      <c r="UBC1" s="529"/>
      <c r="UBD1" s="529"/>
      <c r="UBE1" s="529"/>
      <c r="UBF1" s="529"/>
      <c r="UBG1" s="530"/>
      <c r="UBH1" s="529"/>
      <c r="UBI1" s="529"/>
      <c r="UBJ1" s="529"/>
      <c r="UBK1" s="529"/>
      <c r="UBL1" s="529"/>
      <c r="UBM1" s="529"/>
      <c r="UBN1" s="529"/>
      <c r="UBO1" s="530"/>
      <c r="UBP1" s="529"/>
      <c r="UBQ1" s="529"/>
      <c r="UBR1" s="529"/>
      <c r="UBS1" s="529"/>
      <c r="UBT1" s="529"/>
      <c r="UBU1" s="529"/>
      <c r="UBV1" s="529"/>
      <c r="UBW1" s="530"/>
      <c r="UBX1" s="529"/>
      <c r="UBY1" s="529"/>
      <c r="UBZ1" s="529"/>
      <c r="UCA1" s="529"/>
      <c r="UCB1" s="529"/>
      <c r="UCC1" s="529"/>
      <c r="UCD1" s="529"/>
      <c r="UCE1" s="530"/>
      <c r="UCF1" s="529"/>
      <c r="UCG1" s="529"/>
      <c r="UCH1" s="529"/>
      <c r="UCI1" s="529"/>
      <c r="UCJ1" s="529"/>
      <c r="UCK1" s="529"/>
      <c r="UCL1" s="529"/>
      <c r="UCM1" s="530"/>
      <c r="UCN1" s="529"/>
      <c r="UCO1" s="529"/>
      <c r="UCP1" s="529"/>
      <c r="UCQ1" s="529"/>
      <c r="UCR1" s="529"/>
      <c r="UCS1" s="529"/>
      <c r="UCT1" s="529"/>
      <c r="UCU1" s="530"/>
      <c r="UCV1" s="529"/>
      <c r="UCW1" s="529"/>
      <c r="UCX1" s="529"/>
      <c r="UCY1" s="529"/>
      <c r="UCZ1" s="529"/>
      <c r="UDA1" s="529"/>
      <c r="UDB1" s="529"/>
      <c r="UDC1" s="530"/>
      <c r="UDD1" s="529"/>
      <c r="UDE1" s="529"/>
      <c r="UDF1" s="529"/>
      <c r="UDG1" s="529"/>
      <c r="UDH1" s="529"/>
      <c r="UDI1" s="529"/>
      <c r="UDJ1" s="529"/>
      <c r="UDK1" s="530"/>
      <c r="UDL1" s="529"/>
      <c r="UDM1" s="529"/>
      <c r="UDN1" s="529"/>
      <c r="UDO1" s="529"/>
      <c r="UDP1" s="529"/>
      <c r="UDQ1" s="529"/>
      <c r="UDR1" s="529"/>
      <c r="UDS1" s="530"/>
      <c r="UDT1" s="529"/>
      <c r="UDU1" s="529"/>
      <c r="UDV1" s="529"/>
      <c r="UDW1" s="529"/>
      <c r="UDX1" s="529"/>
      <c r="UDY1" s="529"/>
      <c r="UDZ1" s="529"/>
      <c r="UEA1" s="530"/>
      <c r="UEB1" s="529"/>
      <c r="UEC1" s="529"/>
      <c r="UED1" s="529"/>
      <c r="UEE1" s="529"/>
      <c r="UEF1" s="529"/>
      <c r="UEG1" s="529"/>
      <c r="UEH1" s="529"/>
      <c r="UEI1" s="530"/>
      <c r="UEJ1" s="529"/>
      <c r="UEK1" s="529"/>
      <c r="UEL1" s="529"/>
      <c r="UEM1" s="529"/>
      <c r="UEN1" s="529"/>
      <c r="UEO1" s="529"/>
      <c r="UEP1" s="529"/>
      <c r="UEQ1" s="530"/>
      <c r="UER1" s="529"/>
      <c r="UES1" s="529"/>
      <c r="UET1" s="529"/>
      <c r="UEU1" s="529"/>
      <c r="UEV1" s="529"/>
      <c r="UEW1" s="529"/>
      <c r="UEX1" s="529"/>
      <c r="UEY1" s="530"/>
      <c r="UEZ1" s="529"/>
      <c r="UFA1" s="529"/>
      <c r="UFB1" s="529"/>
      <c r="UFC1" s="529"/>
      <c r="UFD1" s="529"/>
      <c r="UFE1" s="529"/>
      <c r="UFF1" s="529"/>
      <c r="UFG1" s="530"/>
      <c r="UFH1" s="529"/>
      <c r="UFI1" s="529"/>
      <c r="UFJ1" s="529"/>
      <c r="UFK1" s="529"/>
      <c r="UFL1" s="529"/>
      <c r="UFM1" s="529"/>
      <c r="UFN1" s="529"/>
      <c r="UFO1" s="530"/>
      <c r="UFP1" s="529"/>
      <c r="UFQ1" s="529"/>
      <c r="UFR1" s="529"/>
      <c r="UFS1" s="529"/>
      <c r="UFT1" s="529"/>
      <c r="UFU1" s="529"/>
      <c r="UFV1" s="529"/>
      <c r="UFW1" s="530"/>
      <c r="UFX1" s="529"/>
      <c r="UFY1" s="529"/>
      <c r="UFZ1" s="529"/>
      <c r="UGA1" s="529"/>
      <c r="UGB1" s="529"/>
      <c r="UGC1" s="529"/>
      <c r="UGD1" s="529"/>
      <c r="UGE1" s="530"/>
      <c r="UGF1" s="529"/>
      <c r="UGG1" s="529"/>
      <c r="UGH1" s="529"/>
      <c r="UGI1" s="529"/>
      <c r="UGJ1" s="529"/>
      <c r="UGK1" s="529"/>
      <c r="UGL1" s="529"/>
      <c r="UGM1" s="530"/>
      <c r="UGN1" s="529"/>
      <c r="UGO1" s="529"/>
      <c r="UGP1" s="529"/>
      <c r="UGQ1" s="529"/>
      <c r="UGR1" s="529"/>
      <c r="UGS1" s="529"/>
      <c r="UGT1" s="529"/>
      <c r="UGU1" s="530"/>
      <c r="UGV1" s="529"/>
      <c r="UGW1" s="529"/>
      <c r="UGX1" s="529"/>
      <c r="UGY1" s="529"/>
      <c r="UGZ1" s="529"/>
      <c r="UHA1" s="529"/>
      <c r="UHB1" s="529"/>
      <c r="UHC1" s="530"/>
      <c r="UHD1" s="529"/>
      <c r="UHE1" s="529"/>
      <c r="UHF1" s="529"/>
      <c r="UHG1" s="529"/>
      <c r="UHH1" s="529"/>
      <c r="UHI1" s="529"/>
      <c r="UHJ1" s="529"/>
      <c r="UHK1" s="530"/>
      <c r="UHL1" s="529"/>
      <c r="UHM1" s="529"/>
      <c r="UHN1" s="529"/>
      <c r="UHO1" s="529"/>
      <c r="UHP1" s="529"/>
      <c r="UHQ1" s="529"/>
      <c r="UHR1" s="529"/>
      <c r="UHS1" s="530"/>
      <c r="UHT1" s="529"/>
      <c r="UHU1" s="529"/>
      <c r="UHV1" s="529"/>
      <c r="UHW1" s="529"/>
      <c r="UHX1" s="529"/>
      <c r="UHY1" s="529"/>
      <c r="UHZ1" s="529"/>
      <c r="UIA1" s="530"/>
      <c r="UIB1" s="529"/>
      <c r="UIC1" s="529"/>
      <c r="UID1" s="529"/>
      <c r="UIE1" s="529"/>
      <c r="UIF1" s="529"/>
      <c r="UIG1" s="529"/>
      <c r="UIH1" s="529"/>
      <c r="UII1" s="530"/>
      <c r="UIJ1" s="529"/>
      <c r="UIK1" s="529"/>
      <c r="UIL1" s="529"/>
      <c r="UIM1" s="529"/>
      <c r="UIN1" s="529"/>
      <c r="UIO1" s="529"/>
      <c r="UIP1" s="529"/>
      <c r="UIQ1" s="530"/>
      <c r="UIR1" s="529"/>
      <c r="UIS1" s="529"/>
      <c r="UIT1" s="529"/>
      <c r="UIU1" s="529"/>
      <c r="UIV1" s="529"/>
      <c r="UIW1" s="529"/>
      <c r="UIX1" s="529"/>
      <c r="UIY1" s="530"/>
      <c r="UIZ1" s="529"/>
      <c r="UJA1" s="529"/>
      <c r="UJB1" s="529"/>
      <c r="UJC1" s="529"/>
      <c r="UJD1" s="529"/>
      <c r="UJE1" s="529"/>
      <c r="UJF1" s="529"/>
      <c r="UJG1" s="530"/>
      <c r="UJH1" s="529"/>
      <c r="UJI1" s="529"/>
      <c r="UJJ1" s="529"/>
      <c r="UJK1" s="529"/>
      <c r="UJL1" s="529"/>
      <c r="UJM1" s="529"/>
      <c r="UJN1" s="529"/>
      <c r="UJO1" s="530"/>
      <c r="UJP1" s="529"/>
      <c r="UJQ1" s="529"/>
      <c r="UJR1" s="529"/>
      <c r="UJS1" s="529"/>
      <c r="UJT1" s="529"/>
      <c r="UJU1" s="529"/>
      <c r="UJV1" s="529"/>
      <c r="UJW1" s="530"/>
      <c r="UJX1" s="529"/>
      <c r="UJY1" s="529"/>
      <c r="UJZ1" s="529"/>
      <c r="UKA1" s="529"/>
      <c r="UKB1" s="529"/>
      <c r="UKC1" s="529"/>
      <c r="UKD1" s="529"/>
      <c r="UKE1" s="530"/>
      <c r="UKF1" s="529"/>
      <c r="UKG1" s="529"/>
      <c r="UKH1" s="529"/>
      <c r="UKI1" s="529"/>
      <c r="UKJ1" s="529"/>
      <c r="UKK1" s="529"/>
      <c r="UKL1" s="529"/>
      <c r="UKM1" s="530"/>
      <c r="UKN1" s="529"/>
      <c r="UKO1" s="529"/>
      <c r="UKP1" s="529"/>
      <c r="UKQ1" s="529"/>
      <c r="UKR1" s="529"/>
      <c r="UKS1" s="529"/>
      <c r="UKT1" s="529"/>
      <c r="UKU1" s="530"/>
      <c r="UKV1" s="529"/>
      <c r="UKW1" s="529"/>
      <c r="UKX1" s="529"/>
      <c r="UKY1" s="529"/>
      <c r="UKZ1" s="529"/>
      <c r="ULA1" s="529"/>
      <c r="ULB1" s="529"/>
      <c r="ULC1" s="530"/>
      <c r="ULD1" s="529"/>
      <c r="ULE1" s="529"/>
      <c r="ULF1" s="529"/>
      <c r="ULG1" s="529"/>
      <c r="ULH1" s="529"/>
      <c r="ULI1" s="529"/>
      <c r="ULJ1" s="529"/>
      <c r="ULK1" s="530"/>
      <c r="ULL1" s="529"/>
      <c r="ULM1" s="529"/>
      <c r="ULN1" s="529"/>
      <c r="ULO1" s="529"/>
      <c r="ULP1" s="529"/>
      <c r="ULQ1" s="529"/>
      <c r="ULR1" s="529"/>
      <c r="ULS1" s="530"/>
      <c r="ULT1" s="529"/>
      <c r="ULU1" s="529"/>
      <c r="ULV1" s="529"/>
      <c r="ULW1" s="529"/>
      <c r="ULX1" s="529"/>
      <c r="ULY1" s="529"/>
      <c r="ULZ1" s="529"/>
      <c r="UMA1" s="530"/>
      <c r="UMB1" s="529"/>
      <c r="UMC1" s="529"/>
      <c r="UMD1" s="529"/>
      <c r="UME1" s="529"/>
      <c r="UMF1" s="529"/>
      <c r="UMG1" s="529"/>
      <c r="UMH1" s="529"/>
      <c r="UMI1" s="530"/>
      <c r="UMJ1" s="529"/>
      <c r="UMK1" s="529"/>
      <c r="UML1" s="529"/>
      <c r="UMM1" s="529"/>
      <c r="UMN1" s="529"/>
      <c r="UMO1" s="529"/>
      <c r="UMP1" s="529"/>
      <c r="UMQ1" s="530"/>
      <c r="UMR1" s="529"/>
      <c r="UMS1" s="529"/>
      <c r="UMT1" s="529"/>
      <c r="UMU1" s="529"/>
      <c r="UMV1" s="529"/>
      <c r="UMW1" s="529"/>
      <c r="UMX1" s="529"/>
      <c r="UMY1" s="530"/>
      <c r="UMZ1" s="529"/>
      <c r="UNA1" s="529"/>
      <c r="UNB1" s="529"/>
      <c r="UNC1" s="529"/>
      <c r="UND1" s="529"/>
      <c r="UNE1" s="529"/>
      <c r="UNF1" s="529"/>
      <c r="UNG1" s="530"/>
      <c r="UNH1" s="529"/>
      <c r="UNI1" s="529"/>
      <c r="UNJ1" s="529"/>
      <c r="UNK1" s="529"/>
      <c r="UNL1" s="529"/>
      <c r="UNM1" s="529"/>
      <c r="UNN1" s="529"/>
      <c r="UNO1" s="530"/>
      <c r="UNP1" s="529"/>
      <c r="UNQ1" s="529"/>
      <c r="UNR1" s="529"/>
      <c r="UNS1" s="529"/>
      <c r="UNT1" s="529"/>
      <c r="UNU1" s="529"/>
      <c r="UNV1" s="529"/>
      <c r="UNW1" s="530"/>
      <c r="UNX1" s="529"/>
      <c r="UNY1" s="529"/>
      <c r="UNZ1" s="529"/>
      <c r="UOA1" s="529"/>
      <c r="UOB1" s="529"/>
      <c r="UOC1" s="529"/>
      <c r="UOD1" s="529"/>
      <c r="UOE1" s="530"/>
      <c r="UOF1" s="529"/>
      <c r="UOG1" s="529"/>
      <c r="UOH1" s="529"/>
      <c r="UOI1" s="529"/>
      <c r="UOJ1" s="529"/>
      <c r="UOK1" s="529"/>
      <c r="UOL1" s="529"/>
      <c r="UOM1" s="530"/>
      <c r="UON1" s="529"/>
      <c r="UOO1" s="529"/>
      <c r="UOP1" s="529"/>
      <c r="UOQ1" s="529"/>
      <c r="UOR1" s="529"/>
      <c r="UOS1" s="529"/>
      <c r="UOT1" s="529"/>
      <c r="UOU1" s="530"/>
      <c r="UOV1" s="529"/>
      <c r="UOW1" s="529"/>
      <c r="UOX1" s="529"/>
      <c r="UOY1" s="529"/>
      <c r="UOZ1" s="529"/>
      <c r="UPA1" s="529"/>
      <c r="UPB1" s="529"/>
      <c r="UPC1" s="530"/>
      <c r="UPD1" s="529"/>
      <c r="UPE1" s="529"/>
      <c r="UPF1" s="529"/>
      <c r="UPG1" s="529"/>
      <c r="UPH1" s="529"/>
      <c r="UPI1" s="529"/>
      <c r="UPJ1" s="529"/>
      <c r="UPK1" s="530"/>
      <c r="UPL1" s="529"/>
      <c r="UPM1" s="529"/>
      <c r="UPN1" s="529"/>
      <c r="UPO1" s="529"/>
      <c r="UPP1" s="529"/>
      <c r="UPQ1" s="529"/>
      <c r="UPR1" s="529"/>
      <c r="UPS1" s="530"/>
      <c r="UPT1" s="529"/>
      <c r="UPU1" s="529"/>
      <c r="UPV1" s="529"/>
      <c r="UPW1" s="529"/>
      <c r="UPX1" s="529"/>
      <c r="UPY1" s="529"/>
      <c r="UPZ1" s="529"/>
      <c r="UQA1" s="530"/>
      <c r="UQB1" s="529"/>
      <c r="UQC1" s="529"/>
      <c r="UQD1" s="529"/>
      <c r="UQE1" s="529"/>
      <c r="UQF1" s="529"/>
      <c r="UQG1" s="529"/>
      <c r="UQH1" s="529"/>
      <c r="UQI1" s="530"/>
      <c r="UQJ1" s="529"/>
      <c r="UQK1" s="529"/>
      <c r="UQL1" s="529"/>
      <c r="UQM1" s="529"/>
      <c r="UQN1" s="529"/>
      <c r="UQO1" s="529"/>
      <c r="UQP1" s="529"/>
      <c r="UQQ1" s="530"/>
      <c r="UQR1" s="529"/>
      <c r="UQS1" s="529"/>
      <c r="UQT1" s="529"/>
      <c r="UQU1" s="529"/>
      <c r="UQV1" s="529"/>
      <c r="UQW1" s="529"/>
      <c r="UQX1" s="529"/>
      <c r="UQY1" s="530"/>
      <c r="UQZ1" s="529"/>
      <c r="URA1" s="529"/>
      <c r="URB1" s="529"/>
      <c r="URC1" s="529"/>
      <c r="URD1" s="529"/>
      <c r="URE1" s="529"/>
      <c r="URF1" s="529"/>
      <c r="URG1" s="530"/>
      <c r="URH1" s="529"/>
      <c r="URI1" s="529"/>
      <c r="URJ1" s="529"/>
      <c r="URK1" s="529"/>
      <c r="URL1" s="529"/>
      <c r="URM1" s="529"/>
      <c r="URN1" s="529"/>
      <c r="URO1" s="530"/>
      <c r="URP1" s="529"/>
      <c r="URQ1" s="529"/>
      <c r="URR1" s="529"/>
      <c r="URS1" s="529"/>
      <c r="URT1" s="529"/>
      <c r="URU1" s="529"/>
      <c r="URV1" s="529"/>
      <c r="URW1" s="530"/>
      <c r="URX1" s="529"/>
      <c r="URY1" s="529"/>
      <c r="URZ1" s="529"/>
      <c r="USA1" s="529"/>
      <c r="USB1" s="529"/>
      <c r="USC1" s="529"/>
      <c r="USD1" s="529"/>
      <c r="USE1" s="530"/>
      <c r="USF1" s="529"/>
      <c r="USG1" s="529"/>
      <c r="USH1" s="529"/>
      <c r="USI1" s="529"/>
      <c r="USJ1" s="529"/>
      <c r="USK1" s="529"/>
      <c r="USL1" s="529"/>
      <c r="USM1" s="530"/>
      <c r="USN1" s="529"/>
      <c r="USO1" s="529"/>
      <c r="USP1" s="529"/>
      <c r="USQ1" s="529"/>
      <c r="USR1" s="529"/>
      <c r="USS1" s="529"/>
      <c r="UST1" s="529"/>
      <c r="USU1" s="530"/>
      <c r="USV1" s="529"/>
      <c r="USW1" s="529"/>
      <c r="USX1" s="529"/>
      <c r="USY1" s="529"/>
      <c r="USZ1" s="529"/>
      <c r="UTA1" s="529"/>
      <c r="UTB1" s="529"/>
      <c r="UTC1" s="530"/>
      <c r="UTD1" s="529"/>
      <c r="UTE1" s="529"/>
      <c r="UTF1" s="529"/>
      <c r="UTG1" s="529"/>
      <c r="UTH1" s="529"/>
      <c r="UTI1" s="529"/>
      <c r="UTJ1" s="529"/>
      <c r="UTK1" s="530"/>
      <c r="UTL1" s="529"/>
      <c r="UTM1" s="529"/>
      <c r="UTN1" s="529"/>
      <c r="UTO1" s="529"/>
      <c r="UTP1" s="529"/>
      <c r="UTQ1" s="529"/>
      <c r="UTR1" s="529"/>
      <c r="UTS1" s="530"/>
      <c r="UTT1" s="529"/>
      <c r="UTU1" s="529"/>
      <c r="UTV1" s="529"/>
      <c r="UTW1" s="529"/>
      <c r="UTX1" s="529"/>
      <c r="UTY1" s="529"/>
      <c r="UTZ1" s="529"/>
      <c r="UUA1" s="530"/>
      <c r="UUB1" s="529"/>
      <c r="UUC1" s="529"/>
      <c r="UUD1" s="529"/>
      <c r="UUE1" s="529"/>
      <c r="UUF1" s="529"/>
      <c r="UUG1" s="529"/>
      <c r="UUH1" s="529"/>
      <c r="UUI1" s="530"/>
      <c r="UUJ1" s="529"/>
      <c r="UUK1" s="529"/>
      <c r="UUL1" s="529"/>
      <c r="UUM1" s="529"/>
      <c r="UUN1" s="529"/>
      <c r="UUO1" s="529"/>
      <c r="UUP1" s="529"/>
      <c r="UUQ1" s="530"/>
      <c r="UUR1" s="529"/>
      <c r="UUS1" s="529"/>
      <c r="UUT1" s="529"/>
      <c r="UUU1" s="529"/>
      <c r="UUV1" s="529"/>
      <c r="UUW1" s="529"/>
      <c r="UUX1" s="529"/>
      <c r="UUY1" s="530"/>
      <c r="UUZ1" s="529"/>
      <c r="UVA1" s="529"/>
      <c r="UVB1" s="529"/>
      <c r="UVC1" s="529"/>
      <c r="UVD1" s="529"/>
      <c r="UVE1" s="529"/>
      <c r="UVF1" s="529"/>
      <c r="UVG1" s="530"/>
      <c r="UVH1" s="529"/>
      <c r="UVI1" s="529"/>
      <c r="UVJ1" s="529"/>
      <c r="UVK1" s="529"/>
      <c r="UVL1" s="529"/>
      <c r="UVM1" s="529"/>
      <c r="UVN1" s="529"/>
      <c r="UVO1" s="530"/>
      <c r="UVP1" s="529"/>
      <c r="UVQ1" s="529"/>
      <c r="UVR1" s="529"/>
      <c r="UVS1" s="529"/>
      <c r="UVT1" s="529"/>
      <c r="UVU1" s="529"/>
      <c r="UVV1" s="529"/>
      <c r="UVW1" s="530"/>
      <c r="UVX1" s="529"/>
      <c r="UVY1" s="529"/>
      <c r="UVZ1" s="529"/>
      <c r="UWA1" s="529"/>
      <c r="UWB1" s="529"/>
      <c r="UWC1" s="529"/>
      <c r="UWD1" s="529"/>
      <c r="UWE1" s="530"/>
      <c r="UWF1" s="529"/>
      <c r="UWG1" s="529"/>
      <c r="UWH1" s="529"/>
      <c r="UWI1" s="529"/>
      <c r="UWJ1" s="529"/>
      <c r="UWK1" s="529"/>
      <c r="UWL1" s="529"/>
      <c r="UWM1" s="530"/>
      <c r="UWN1" s="529"/>
      <c r="UWO1" s="529"/>
      <c r="UWP1" s="529"/>
      <c r="UWQ1" s="529"/>
      <c r="UWR1" s="529"/>
      <c r="UWS1" s="529"/>
      <c r="UWT1" s="529"/>
      <c r="UWU1" s="530"/>
      <c r="UWV1" s="529"/>
      <c r="UWW1" s="529"/>
      <c r="UWX1" s="529"/>
      <c r="UWY1" s="529"/>
      <c r="UWZ1" s="529"/>
      <c r="UXA1" s="529"/>
      <c r="UXB1" s="529"/>
      <c r="UXC1" s="530"/>
      <c r="UXD1" s="529"/>
      <c r="UXE1" s="529"/>
      <c r="UXF1" s="529"/>
      <c r="UXG1" s="529"/>
      <c r="UXH1" s="529"/>
      <c r="UXI1" s="529"/>
      <c r="UXJ1" s="529"/>
      <c r="UXK1" s="530"/>
      <c r="UXL1" s="529"/>
      <c r="UXM1" s="529"/>
      <c r="UXN1" s="529"/>
      <c r="UXO1" s="529"/>
      <c r="UXP1" s="529"/>
      <c r="UXQ1" s="529"/>
      <c r="UXR1" s="529"/>
      <c r="UXS1" s="530"/>
      <c r="UXT1" s="529"/>
      <c r="UXU1" s="529"/>
      <c r="UXV1" s="529"/>
      <c r="UXW1" s="529"/>
      <c r="UXX1" s="529"/>
      <c r="UXY1" s="529"/>
      <c r="UXZ1" s="529"/>
      <c r="UYA1" s="530"/>
      <c r="UYB1" s="529"/>
      <c r="UYC1" s="529"/>
      <c r="UYD1" s="529"/>
      <c r="UYE1" s="529"/>
      <c r="UYF1" s="529"/>
      <c r="UYG1" s="529"/>
      <c r="UYH1" s="529"/>
      <c r="UYI1" s="530"/>
      <c r="UYJ1" s="529"/>
      <c r="UYK1" s="529"/>
      <c r="UYL1" s="529"/>
      <c r="UYM1" s="529"/>
      <c r="UYN1" s="529"/>
      <c r="UYO1" s="529"/>
      <c r="UYP1" s="529"/>
      <c r="UYQ1" s="530"/>
      <c r="UYR1" s="529"/>
      <c r="UYS1" s="529"/>
      <c r="UYT1" s="529"/>
      <c r="UYU1" s="529"/>
      <c r="UYV1" s="529"/>
      <c r="UYW1" s="529"/>
      <c r="UYX1" s="529"/>
      <c r="UYY1" s="530"/>
      <c r="UYZ1" s="529"/>
      <c r="UZA1" s="529"/>
      <c r="UZB1" s="529"/>
      <c r="UZC1" s="529"/>
      <c r="UZD1" s="529"/>
      <c r="UZE1" s="529"/>
      <c r="UZF1" s="529"/>
      <c r="UZG1" s="530"/>
      <c r="UZH1" s="529"/>
      <c r="UZI1" s="529"/>
      <c r="UZJ1" s="529"/>
      <c r="UZK1" s="529"/>
      <c r="UZL1" s="529"/>
      <c r="UZM1" s="529"/>
      <c r="UZN1" s="529"/>
      <c r="UZO1" s="530"/>
      <c r="UZP1" s="529"/>
      <c r="UZQ1" s="529"/>
      <c r="UZR1" s="529"/>
      <c r="UZS1" s="529"/>
      <c r="UZT1" s="529"/>
      <c r="UZU1" s="529"/>
      <c r="UZV1" s="529"/>
      <c r="UZW1" s="530"/>
      <c r="UZX1" s="529"/>
      <c r="UZY1" s="529"/>
      <c r="UZZ1" s="529"/>
      <c r="VAA1" s="529"/>
      <c r="VAB1" s="529"/>
      <c r="VAC1" s="529"/>
      <c r="VAD1" s="529"/>
      <c r="VAE1" s="530"/>
      <c r="VAF1" s="529"/>
      <c r="VAG1" s="529"/>
      <c r="VAH1" s="529"/>
      <c r="VAI1" s="529"/>
      <c r="VAJ1" s="529"/>
      <c r="VAK1" s="529"/>
      <c r="VAL1" s="529"/>
      <c r="VAM1" s="530"/>
      <c r="VAN1" s="529"/>
      <c r="VAO1" s="529"/>
      <c r="VAP1" s="529"/>
      <c r="VAQ1" s="529"/>
      <c r="VAR1" s="529"/>
      <c r="VAS1" s="529"/>
      <c r="VAT1" s="529"/>
      <c r="VAU1" s="530"/>
      <c r="VAV1" s="529"/>
      <c r="VAW1" s="529"/>
      <c r="VAX1" s="529"/>
      <c r="VAY1" s="529"/>
      <c r="VAZ1" s="529"/>
      <c r="VBA1" s="529"/>
      <c r="VBB1" s="529"/>
      <c r="VBC1" s="530"/>
      <c r="VBD1" s="529"/>
      <c r="VBE1" s="529"/>
      <c r="VBF1" s="529"/>
      <c r="VBG1" s="529"/>
      <c r="VBH1" s="529"/>
      <c r="VBI1" s="529"/>
      <c r="VBJ1" s="529"/>
      <c r="VBK1" s="530"/>
      <c r="VBL1" s="529"/>
      <c r="VBM1" s="529"/>
      <c r="VBN1" s="529"/>
      <c r="VBO1" s="529"/>
      <c r="VBP1" s="529"/>
      <c r="VBQ1" s="529"/>
      <c r="VBR1" s="529"/>
      <c r="VBS1" s="530"/>
      <c r="VBT1" s="529"/>
      <c r="VBU1" s="529"/>
      <c r="VBV1" s="529"/>
      <c r="VBW1" s="529"/>
      <c r="VBX1" s="529"/>
      <c r="VBY1" s="529"/>
      <c r="VBZ1" s="529"/>
      <c r="VCA1" s="530"/>
      <c r="VCB1" s="529"/>
      <c r="VCC1" s="529"/>
      <c r="VCD1" s="529"/>
      <c r="VCE1" s="529"/>
      <c r="VCF1" s="529"/>
      <c r="VCG1" s="529"/>
      <c r="VCH1" s="529"/>
      <c r="VCI1" s="530"/>
      <c r="VCJ1" s="529"/>
      <c r="VCK1" s="529"/>
      <c r="VCL1" s="529"/>
      <c r="VCM1" s="529"/>
      <c r="VCN1" s="529"/>
      <c r="VCO1" s="529"/>
      <c r="VCP1" s="529"/>
      <c r="VCQ1" s="530"/>
      <c r="VCR1" s="529"/>
      <c r="VCS1" s="529"/>
      <c r="VCT1" s="529"/>
      <c r="VCU1" s="529"/>
      <c r="VCV1" s="529"/>
      <c r="VCW1" s="529"/>
      <c r="VCX1" s="529"/>
      <c r="VCY1" s="530"/>
      <c r="VCZ1" s="529"/>
      <c r="VDA1" s="529"/>
      <c r="VDB1" s="529"/>
      <c r="VDC1" s="529"/>
      <c r="VDD1" s="529"/>
      <c r="VDE1" s="529"/>
      <c r="VDF1" s="529"/>
      <c r="VDG1" s="530"/>
      <c r="VDH1" s="529"/>
      <c r="VDI1" s="529"/>
      <c r="VDJ1" s="529"/>
      <c r="VDK1" s="529"/>
      <c r="VDL1" s="529"/>
      <c r="VDM1" s="529"/>
      <c r="VDN1" s="529"/>
      <c r="VDO1" s="530"/>
      <c r="VDP1" s="529"/>
      <c r="VDQ1" s="529"/>
      <c r="VDR1" s="529"/>
      <c r="VDS1" s="529"/>
      <c r="VDT1" s="529"/>
      <c r="VDU1" s="529"/>
      <c r="VDV1" s="529"/>
      <c r="VDW1" s="530"/>
      <c r="VDX1" s="529"/>
      <c r="VDY1" s="529"/>
      <c r="VDZ1" s="529"/>
      <c r="VEA1" s="529"/>
      <c r="VEB1" s="529"/>
      <c r="VEC1" s="529"/>
      <c r="VED1" s="529"/>
      <c r="VEE1" s="530"/>
      <c r="VEF1" s="529"/>
      <c r="VEG1" s="529"/>
      <c r="VEH1" s="529"/>
      <c r="VEI1" s="529"/>
      <c r="VEJ1" s="529"/>
      <c r="VEK1" s="529"/>
      <c r="VEL1" s="529"/>
      <c r="VEM1" s="530"/>
      <c r="VEN1" s="529"/>
      <c r="VEO1" s="529"/>
      <c r="VEP1" s="529"/>
      <c r="VEQ1" s="529"/>
      <c r="VER1" s="529"/>
      <c r="VES1" s="529"/>
      <c r="VET1" s="529"/>
      <c r="VEU1" s="530"/>
      <c r="VEV1" s="529"/>
      <c r="VEW1" s="529"/>
      <c r="VEX1" s="529"/>
      <c r="VEY1" s="529"/>
      <c r="VEZ1" s="529"/>
      <c r="VFA1" s="529"/>
      <c r="VFB1" s="529"/>
      <c r="VFC1" s="530"/>
      <c r="VFD1" s="529"/>
      <c r="VFE1" s="529"/>
      <c r="VFF1" s="529"/>
      <c r="VFG1" s="529"/>
      <c r="VFH1" s="529"/>
      <c r="VFI1" s="529"/>
      <c r="VFJ1" s="529"/>
      <c r="VFK1" s="530"/>
      <c r="VFL1" s="529"/>
      <c r="VFM1" s="529"/>
      <c r="VFN1" s="529"/>
      <c r="VFO1" s="529"/>
      <c r="VFP1" s="529"/>
      <c r="VFQ1" s="529"/>
      <c r="VFR1" s="529"/>
      <c r="VFS1" s="530"/>
      <c r="VFT1" s="529"/>
      <c r="VFU1" s="529"/>
      <c r="VFV1" s="529"/>
      <c r="VFW1" s="529"/>
      <c r="VFX1" s="529"/>
      <c r="VFY1" s="529"/>
      <c r="VFZ1" s="529"/>
      <c r="VGA1" s="530"/>
      <c r="VGB1" s="529"/>
      <c r="VGC1" s="529"/>
      <c r="VGD1" s="529"/>
      <c r="VGE1" s="529"/>
      <c r="VGF1" s="529"/>
      <c r="VGG1" s="529"/>
      <c r="VGH1" s="529"/>
      <c r="VGI1" s="530"/>
      <c r="VGJ1" s="529"/>
      <c r="VGK1" s="529"/>
      <c r="VGL1" s="529"/>
      <c r="VGM1" s="529"/>
      <c r="VGN1" s="529"/>
      <c r="VGO1" s="529"/>
      <c r="VGP1" s="529"/>
      <c r="VGQ1" s="530"/>
      <c r="VGR1" s="529"/>
      <c r="VGS1" s="529"/>
      <c r="VGT1" s="529"/>
      <c r="VGU1" s="529"/>
      <c r="VGV1" s="529"/>
      <c r="VGW1" s="529"/>
      <c r="VGX1" s="529"/>
      <c r="VGY1" s="530"/>
      <c r="VGZ1" s="529"/>
      <c r="VHA1" s="529"/>
      <c r="VHB1" s="529"/>
      <c r="VHC1" s="529"/>
      <c r="VHD1" s="529"/>
      <c r="VHE1" s="529"/>
      <c r="VHF1" s="529"/>
      <c r="VHG1" s="530"/>
      <c r="VHH1" s="529"/>
      <c r="VHI1" s="529"/>
      <c r="VHJ1" s="529"/>
      <c r="VHK1" s="529"/>
      <c r="VHL1" s="529"/>
      <c r="VHM1" s="529"/>
      <c r="VHN1" s="529"/>
      <c r="VHO1" s="530"/>
      <c r="VHP1" s="529"/>
      <c r="VHQ1" s="529"/>
      <c r="VHR1" s="529"/>
      <c r="VHS1" s="529"/>
      <c r="VHT1" s="529"/>
      <c r="VHU1" s="529"/>
      <c r="VHV1" s="529"/>
      <c r="VHW1" s="530"/>
      <c r="VHX1" s="529"/>
      <c r="VHY1" s="529"/>
      <c r="VHZ1" s="529"/>
      <c r="VIA1" s="529"/>
      <c r="VIB1" s="529"/>
      <c r="VIC1" s="529"/>
      <c r="VID1" s="529"/>
      <c r="VIE1" s="530"/>
      <c r="VIF1" s="529"/>
      <c r="VIG1" s="529"/>
      <c r="VIH1" s="529"/>
      <c r="VII1" s="529"/>
      <c r="VIJ1" s="529"/>
      <c r="VIK1" s="529"/>
      <c r="VIL1" s="529"/>
      <c r="VIM1" s="530"/>
      <c r="VIN1" s="529"/>
      <c r="VIO1" s="529"/>
      <c r="VIP1" s="529"/>
      <c r="VIQ1" s="529"/>
      <c r="VIR1" s="529"/>
      <c r="VIS1" s="529"/>
      <c r="VIT1" s="529"/>
      <c r="VIU1" s="530"/>
      <c r="VIV1" s="529"/>
      <c r="VIW1" s="529"/>
      <c r="VIX1" s="529"/>
      <c r="VIY1" s="529"/>
      <c r="VIZ1" s="529"/>
      <c r="VJA1" s="529"/>
      <c r="VJB1" s="529"/>
      <c r="VJC1" s="530"/>
      <c r="VJD1" s="529"/>
      <c r="VJE1" s="529"/>
      <c r="VJF1" s="529"/>
      <c r="VJG1" s="529"/>
      <c r="VJH1" s="529"/>
      <c r="VJI1" s="529"/>
      <c r="VJJ1" s="529"/>
      <c r="VJK1" s="530"/>
      <c r="VJL1" s="529"/>
      <c r="VJM1" s="529"/>
      <c r="VJN1" s="529"/>
      <c r="VJO1" s="529"/>
      <c r="VJP1" s="529"/>
      <c r="VJQ1" s="529"/>
      <c r="VJR1" s="529"/>
      <c r="VJS1" s="530"/>
      <c r="VJT1" s="529"/>
      <c r="VJU1" s="529"/>
      <c r="VJV1" s="529"/>
      <c r="VJW1" s="529"/>
      <c r="VJX1" s="529"/>
      <c r="VJY1" s="529"/>
      <c r="VJZ1" s="529"/>
      <c r="VKA1" s="530"/>
      <c r="VKB1" s="529"/>
      <c r="VKC1" s="529"/>
      <c r="VKD1" s="529"/>
      <c r="VKE1" s="529"/>
      <c r="VKF1" s="529"/>
      <c r="VKG1" s="529"/>
      <c r="VKH1" s="529"/>
      <c r="VKI1" s="530"/>
      <c r="VKJ1" s="529"/>
      <c r="VKK1" s="529"/>
      <c r="VKL1" s="529"/>
      <c r="VKM1" s="529"/>
      <c r="VKN1" s="529"/>
      <c r="VKO1" s="529"/>
      <c r="VKP1" s="529"/>
      <c r="VKQ1" s="530"/>
      <c r="VKR1" s="529"/>
      <c r="VKS1" s="529"/>
      <c r="VKT1" s="529"/>
      <c r="VKU1" s="529"/>
      <c r="VKV1" s="529"/>
      <c r="VKW1" s="529"/>
      <c r="VKX1" s="529"/>
      <c r="VKY1" s="530"/>
      <c r="VKZ1" s="529"/>
      <c r="VLA1" s="529"/>
      <c r="VLB1" s="529"/>
      <c r="VLC1" s="529"/>
      <c r="VLD1" s="529"/>
      <c r="VLE1" s="529"/>
      <c r="VLF1" s="529"/>
      <c r="VLG1" s="530"/>
      <c r="VLH1" s="529"/>
      <c r="VLI1" s="529"/>
      <c r="VLJ1" s="529"/>
      <c r="VLK1" s="529"/>
      <c r="VLL1" s="529"/>
      <c r="VLM1" s="529"/>
      <c r="VLN1" s="529"/>
      <c r="VLO1" s="530"/>
      <c r="VLP1" s="529"/>
      <c r="VLQ1" s="529"/>
      <c r="VLR1" s="529"/>
      <c r="VLS1" s="529"/>
      <c r="VLT1" s="529"/>
      <c r="VLU1" s="529"/>
      <c r="VLV1" s="529"/>
      <c r="VLW1" s="530"/>
      <c r="VLX1" s="529"/>
      <c r="VLY1" s="529"/>
      <c r="VLZ1" s="529"/>
      <c r="VMA1" s="529"/>
      <c r="VMB1" s="529"/>
      <c r="VMC1" s="529"/>
      <c r="VMD1" s="529"/>
      <c r="VME1" s="530"/>
      <c r="VMF1" s="529"/>
      <c r="VMG1" s="529"/>
      <c r="VMH1" s="529"/>
      <c r="VMI1" s="529"/>
      <c r="VMJ1" s="529"/>
      <c r="VMK1" s="529"/>
      <c r="VML1" s="529"/>
      <c r="VMM1" s="530"/>
      <c r="VMN1" s="529"/>
      <c r="VMO1" s="529"/>
      <c r="VMP1" s="529"/>
      <c r="VMQ1" s="529"/>
      <c r="VMR1" s="529"/>
      <c r="VMS1" s="529"/>
      <c r="VMT1" s="529"/>
      <c r="VMU1" s="530"/>
      <c r="VMV1" s="529"/>
      <c r="VMW1" s="529"/>
      <c r="VMX1" s="529"/>
      <c r="VMY1" s="529"/>
      <c r="VMZ1" s="529"/>
      <c r="VNA1" s="529"/>
      <c r="VNB1" s="529"/>
      <c r="VNC1" s="530"/>
      <c r="VND1" s="529"/>
      <c r="VNE1" s="529"/>
      <c r="VNF1" s="529"/>
      <c r="VNG1" s="529"/>
      <c r="VNH1" s="529"/>
      <c r="VNI1" s="529"/>
      <c r="VNJ1" s="529"/>
      <c r="VNK1" s="530"/>
      <c r="VNL1" s="529"/>
      <c r="VNM1" s="529"/>
      <c r="VNN1" s="529"/>
      <c r="VNO1" s="529"/>
      <c r="VNP1" s="529"/>
      <c r="VNQ1" s="529"/>
      <c r="VNR1" s="529"/>
      <c r="VNS1" s="530"/>
      <c r="VNT1" s="529"/>
      <c r="VNU1" s="529"/>
      <c r="VNV1" s="529"/>
      <c r="VNW1" s="529"/>
      <c r="VNX1" s="529"/>
      <c r="VNY1" s="529"/>
      <c r="VNZ1" s="529"/>
      <c r="VOA1" s="530"/>
      <c r="VOB1" s="529"/>
      <c r="VOC1" s="529"/>
      <c r="VOD1" s="529"/>
      <c r="VOE1" s="529"/>
      <c r="VOF1" s="529"/>
      <c r="VOG1" s="529"/>
      <c r="VOH1" s="529"/>
      <c r="VOI1" s="530"/>
      <c r="VOJ1" s="529"/>
      <c r="VOK1" s="529"/>
      <c r="VOL1" s="529"/>
      <c r="VOM1" s="529"/>
      <c r="VON1" s="529"/>
      <c r="VOO1" s="529"/>
      <c r="VOP1" s="529"/>
      <c r="VOQ1" s="530"/>
      <c r="VOR1" s="529"/>
      <c r="VOS1" s="529"/>
      <c r="VOT1" s="529"/>
      <c r="VOU1" s="529"/>
      <c r="VOV1" s="529"/>
      <c r="VOW1" s="529"/>
      <c r="VOX1" s="529"/>
      <c r="VOY1" s="530"/>
      <c r="VOZ1" s="529"/>
      <c r="VPA1" s="529"/>
      <c r="VPB1" s="529"/>
      <c r="VPC1" s="529"/>
      <c r="VPD1" s="529"/>
      <c r="VPE1" s="529"/>
      <c r="VPF1" s="529"/>
      <c r="VPG1" s="530"/>
      <c r="VPH1" s="529"/>
      <c r="VPI1" s="529"/>
      <c r="VPJ1" s="529"/>
      <c r="VPK1" s="529"/>
      <c r="VPL1" s="529"/>
      <c r="VPM1" s="529"/>
      <c r="VPN1" s="529"/>
      <c r="VPO1" s="530"/>
      <c r="VPP1" s="529"/>
      <c r="VPQ1" s="529"/>
      <c r="VPR1" s="529"/>
      <c r="VPS1" s="529"/>
      <c r="VPT1" s="529"/>
      <c r="VPU1" s="529"/>
      <c r="VPV1" s="529"/>
      <c r="VPW1" s="530"/>
      <c r="VPX1" s="529"/>
      <c r="VPY1" s="529"/>
      <c r="VPZ1" s="529"/>
      <c r="VQA1" s="529"/>
      <c r="VQB1" s="529"/>
      <c r="VQC1" s="529"/>
      <c r="VQD1" s="529"/>
      <c r="VQE1" s="530"/>
      <c r="VQF1" s="529"/>
      <c r="VQG1" s="529"/>
      <c r="VQH1" s="529"/>
      <c r="VQI1" s="529"/>
      <c r="VQJ1" s="529"/>
      <c r="VQK1" s="529"/>
      <c r="VQL1" s="529"/>
      <c r="VQM1" s="530"/>
      <c r="VQN1" s="529"/>
      <c r="VQO1" s="529"/>
      <c r="VQP1" s="529"/>
      <c r="VQQ1" s="529"/>
      <c r="VQR1" s="529"/>
      <c r="VQS1" s="529"/>
      <c r="VQT1" s="529"/>
      <c r="VQU1" s="530"/>
      <c r="VQV1" s="529"/>
      <c r="VQW1" s="529"/>
      <c r="VQX1" s="529"/>
      <c r="VQY1" s="529"/>
      <c r="VQZ1" s="529"/>
      <c r="VRA1" s="529"/>
      <c r="VRB1" s="529"/>
      <c r="VRC1" s="530"/>
      <c r="VRD1" s="529"/>
      <c r="VRE1" s="529"/>
      <c r="VRF1" s="529"/>
      <c r="VRG1" s="529"/>
      <c r="VRH1" s="529"/>
      <c r="VRI1" s="529"/>
      <c r="VRJ1" s="529"/>
      <c r="VRK1" s="530"/>
      <c r="VRL1" s="529"/>
      <c r="VRM1" s="529"/>
      <c r="VRN1" s="529"/>
      <c r="VRO1" s="529"/>
      <c r="VRP1" s="529"/>
      <c r="VRQ1" s="529"/>
      <c r="VRR1" s="529"/>
      <c r="VRS1" s="530"/>
      <c r="VRT1" s="529"/>
      <c r="VRU1" s="529"/>
      <c r="VRV1" s="529"/>
      <c r="VRW1" s="529"/>
      <c r="VRX1" s="529"/>
      <c r="VRY1" s="529"/>
      <c r="VRZ1" s="529"/>
      <c r="VSA1" s="530"/>
      <c r="VSB1" s="529"/>
      <c r="VSC1" s="529"/>
      <c r="VSD1" s="529"/>
      <c r="VSE1" s="529"/>
      <c r="VSF1" s="529"/>
      <c r="VSG1" s="529"/>
      <c r="VSH1" s="529"/>
      <c r="VSI1" s="530"/>
      <c r="VSJ1" s="529"/>
      <c r="VSK1" s="529"/>
      <c r="VSL1" s="529"/>
      <c r="VSM1" s="529"/>
      <c r="VSN1" s="529"/>
      <c r="VSO1" s="529"/>
      <c r="VSP1" s="529"/>
      <c r="VSQ1" s="530"/>
      <c r="VSR1" s="529"/>
      <c r="VSS1" s="529"/>
      <c r="VST1" s="529"/>
      <c r="VSU1" s="529"/>
      <c r="VSV1" s="529"/>
      <c r="VSW1" s="529"/>
      <c r="VSX1" s="529"/>
      <c r="VSY1" s="530"/>
      <c r="VSZ1" s="529"/>
      <c r="VTA1" s="529"/>
      <c r="VTB1" s="529"/>
      <c r="VTC1" s="529"/>
      <c r="VTD1" s="529"/>
      <c r="VTE1" s="529"/>
      <c r="VTF1" s="529"/>
      <c r="VTG1" s="530"/>
      <c r="VTH1" s="529"/>
      <c r="VTI1" s="529"/>
      <c r="VTJ1" s="529"/>
      <c r="VTK1" s="529"/>
      <c r="VTL1" s="529"/>
      <c r="VTM1" s="529"/>
      <c r="VTN1" s="529"/>
      <c r="VTO1" s="530"/>
      <c r="VTP1" s="529"/>
      <c r="VTQ1" s="529"/>
      <c r="VTR1" s="529"/>
      <c r="VTS1" s="529"/>
      <c r="VTT1" s="529"/>
      <c r="VTU1" s="529"/>
      <c r="VTV1" s="529"/>
      <c r="VTW1" s="530"/>
      <c r="VTX1" s="529"/>
      <c r="VTY1" s="529"/>
      <c r="VTZ1" s="529"/>
      <c r="VUA1" s="529"/>
      <c r="VUB1" s="529"/>
      <c r="VUC1" s="529"/>
      <c r="VUD1" s="529"/>
      <c r="VUE1" s="530"/>
      <c r="VUF1" s="529"/>
      <c r="VUG1" s="529"/>
      <c r="VUH1" s="529"/>
      <c r="VUI1" s="529"/>
      <c r="VUJ1" s="529"/>
      <c r="VUK1" s="529"/>
      <c r="VUL1" s="529"/>
      <c r="VUM1" s="530"/>
      <c r="VUN1" s="529"/>
      <c r="VUO1" s="529"/>
      <c r="VUP1" s="529"/>
      <c r="VUQ1" s="529"/>
      <c r="VUR1" s="529"/>
      <c r="VUS1" s="529"/>
      <c r="VUT1" s="529"/>
      <c r="VUU1" s="530"/>
      <c r="VUV1" s="529"/>
      <c r="VUW1" s="529"/>
      <c r="VUX1" s="529"/>
      <c r="VUY1" s="529"/>
      <c r="VUZ1" s="529"/>
      <c r="VVA1" s="529"/>
      <c r="VVB1" s="529"/>
      <c r="VVC1" s="530"/>
      <c r="VVD1" s="529"/>
      <c r="VVE1" s="529"/>
      <c r="VVF1" s="529"/>
      <c r="VVG1" s="529"/>
      <c r="VVH1" s="529"/>
      <c r="VVI1" s="529"/>
      <c r="VVJ1" s="529"/>
      <c r="VVK1" s="530"/>
      <c r="VVL1" s="529"/>
      <c r="VVM1" s="529"/>
      <c r="VVN1" s="529"/>
      <c r="VVO1" s="529"/>
      <c r="VVP1" s="529"/>
      <c r="VVQ1" s="529"/>
      <c r="VVR1" s="529"/>
      <c r="VVS1" s="530"/>
      <c r="VVT1" s="529"/>
      <c r="VVU1" s="529"/>
      <c r="VVV1" s="529"/>
      <c r="VVW1" s="529"/>
      <c r="VVX1" s="529"/>
      <c r="VVY1" s="529"/>
      <c r="VVZ1" s="529"/>
      <c r="VWA1" s="530"/>
      <c r="VWB1" s="529"/>
      <c r="VWC1" s="529"/>
      <c r="VWD1" s="529"/>
      <c r="VWE1" s="529"/>
      <c r="VWF1" s="529"/>
      <c r="VWG1" s="529"/>
      <c r="VWH1" s="529"/>
      <c r="VWI1" s="530"/>
      <c r="VWJ1" s="529"/>
      <c r="VWK1" s="529"/>
      <c r="VWL1" s="529"/>
      <c r="VWM1" s="529"/>
      <c r="VWN1" s="529"/>
      <c r="VWO1" s="529"/>
      <c r="VWP1" s="529"/>
      <c r="VWQ1" s="530"/>
      <c r="VWR1" s="529"/>
      <c r="VWS1" s="529"/>
      <c r="VWT1" s="529"/>
      <c r="VWU1" s="529"/>
      <c r="VWV1" s="529"/>
      <c r="VWW1" s="529"/>
      <c r="VWX1" s="529"/>
      <c r="VWY1" s="530"/>
      <c r="VWZ1" s="529"/>
      <c r="VXA1" s="529"/>
      <c r="VXB1" s="529"/>
      <c r="VXC1" s="529"/>
      <c r="VXD1" s="529"/>
      <c r="VXE1" s="529"/>
      <c r="VXF1" s="529"/>
      <c r="VXG1" s="530"/>
      <c r="VXH1" s="529"/>
      <c r="VXI1" s="529"/>
      <c r="VXJ1" s="529"/>
      <c r="VXK1" s="529"/>
      <c r="VXL1" s="529"/>
      <c r="VXM1" s="529"/>
      <c r="VXN1" s="529"/>
      <c r="VXO1" s="530"/>
      <c r="VXP1" s="529"/>
      <c r="VXQ1" s="529"/>
      <c r="VXR1" s="529"/>
      <c r="VXS1" s="529"/>
      <c r="VXT1" s="529"/>
      <c r="VXU1" s="529"/>
      <c r="VXV1" s="529"/>
      <c r="VXW1" s="530"/>
      <c r="VXX1" s="529"/>
      <c r="VXY1" s="529"/>
      <c r="VXZ1" s="529"/>
      <c r="VYA1" s="529"/>
      <c r="VYB1" s="529"/>
      <c r="VYC1" s="529"/>
      <c r="VYD1" s="529"/>
      <c r="VYE1" s="530"/>
      <c r="VYF1" s="529"/>
      <c r="VYG1" s="529"/>
      <c r="VYH1" s="529"/>
      <c r="VYI1" s="529"/>
      <c r="VYJ1" s="529"/>
      <c r="VYK1" s="529"/>
      <c r="VYL1" s="529"/>
      <c r="VYM1" s="530"/>
      <c r="VYN1" s="529"/>
      <c r="VYO1" s="529"/>
      <c r="VYP1" s="529"/>
      <c r="VYQ1" s="529"/>
      <c r="VYR1" s="529"/>
      <c r="VYS1" s="529"/>
      <c r="VYT1" s="529"/>
      <c r="VYU1" s="530"/>
      <c r="VYV1" s="529"/>
      <c r="VYW1" s="529"/>
      <c r="VYX1" s="529"/>
      <c r="VYY1" s="529"/>
      <c r="VYZ1" s="529"/>
      <c r="VZA1" s="529"/>
      <c r="VZB1" s="529"/>
      <c r="VZC1" s="530"/>
      <c r="VZD1" s="529"/>
      <c r="VZE1" s="529"/>
      <c r="VZF1" s="529"/>
      <c r="VZG1" s="529"/>
      <c r="VZH1" s="529"/>
      <c r="VZI1" s="529"/>
      <c r="VZJ1" s="529"/>
      <c r="VZK1" s="530"/>
      <c r="VZL1" s="529"/>
      <c r="VZM1" s="529"/>
      <c r="VZN1" s="529"/>
      <c r="VZO1" s="529"/>
      <c r="VZP1" s="529"/>
      <c r="VZQ1" s="529"/>
      <c r="VZR1" s="529"/>
      <c r="VZS1" s="530"/>
      <c r="VZT1" s="529"/>
      <c r="VZU1" s="529"/>
      <c r="VZV1" s="529"/>
      <c r="VZW1" s="529"/>
      <c r="VZX1" s="529"/>
      <c r="VZY1" s="529"/>
      <c r="VZZ1" s="529"/>
      <c r="WAA1" s="530"/>
      <c r="WAB1" s="529"/>
      <c r="WAC1" s="529"/>
      <c r="WAD1" s="529"/>
      <c r="WAE1" s="529"/>
      <c r="WAF1" s="529"/>
      <c r="WAG1" s="529"/>
      <c r="WAH1" s="529"/>
      <c r="WAI1" s="530"/>
      <c r="WAJ1" s="529"/>
      <c r="WAK1" s="529"/>
      <c r="WAL1" s="529"/>
      <c r="WAM1" s="529"/>
      <c r="WAN1" s="529"/>
      <c r="WAO1" s="529"/>
      <c r="WAP1" s="529"/>
      <c r="WAQ1" s="530"/>
      <c r="WAR1" s="529"/>
      <c r="WAS1" s="529"/>
      <c r="WAT1" s="529"/>
      <c r="WAU1" s="529"/>
      <c r="WAV1" s="529"/>
      <c r="WAW1" s="529"/>
      <c r="WAX1" s="529"/>
      <c r="WAY1" s="530"/>
      <c r="WAZ1" s="529"/>
      <c r="WBA1" s="529"/>
      <c r="WBB1" s="529"/>
      <c r="WBC1" s="529"/>
      <c r="WBD1" s="529"/>
      <c r="WBE1" s="529"/>
      <c r="WBF1" s="529"/>
      <c r="WBG1" s="530"/>
      <c r="WBH1" s="529"/>
      <c r="WBI1" s="529"/>
      <c r="WBJ1" s="529"/>
      <c r="WBK1" s="529"/>
      <c r="WBL1" s="529"/>
      <c r="WBM1" s="529"/>
      <c r="WBN1" s="529"/>
      <c r="WBO1" s="530"/>
      <c r="WBP1" s="529"/>
      <c r="WBQ1" s="529"/>
      <c r="WBR1" s="529"/>
      <c r="WBS1" s="529"/>
      <c r="WBT1" s="529"/>
      <c r="WBU1" s="529"/>
      <c r="WBV1" s="529"/>
      <c r="WBW1" s="530"/>
      <c r="WBX1" s="529"/>
      <c r="WBY1" s="529"/>
      <c r="WBZ1" s="529"/>
      <c r="WCA1" s="529"/>
      <c r="WCB1" s="529"/>
      <c r="WCC1" s="529"/>
      <c r="WCD1" s="529"/>
      <c r="WCE1" s="530"/>
      <c r="WCF1" s="529"/>
      <c r="WCG1" s="529"/>
      <c r="WCH1" s="529"/>
      <c r="WCI1" s="529"/>
      <c r="WCJ1" s="529"/>
      <c r="WCK1" s="529"/>
      <c r="WCL1" s="529"/>
      <c r="WCM1" s="530"/>
      <c r="WCN1" s="529"/>
      <c r="WCO1" s="529"/>
      <c r="WCP1" s="529"/>
      <c r="WCQ1" s="529"/>
      <c r="WCR1" s="529"/>
      <c r="WCS1" s="529"/>
      <c r="WCT1" s="529"/>
      <c r="WCU1" s="530"/>
      <c r="WCV1" s="529"/>
      <c r="WCW1" s="529"/>
      <c r="WCX1" s="529"/>
      <c r="WCY1" s="529"/>
      <c r="WCZ1" s="529"/>
      <c r="WDA1" s="529"/>
      <c r="WDB1" s="529"/>
      <c r="WDC1" s="530"/>
      <c r="WDD1" s="529"/>
      <c r="WDE1" s="529"/>
      <c r="WDF1" s="529"/>
      <c r="WDG1" s="529"/>
      <c r="WDH1" s="529"/>
      <c r="WDI1" s="529"/>
      <c r="WDJ1" s="529"/>
      <c r="WDK1" s="530"/>
      <c r="WDL1" s="529"/>
      <c r="WDM1" s="529"/>
      <c r="WDN1" s="529"/>
      <c r="WDO1" s="529"/>
      <c r="WDP1" s="529"/>
      <c r="WDQ1" s="529"/>
      <c r="WDR1" s="529"/>
      <c r="WDS1" s="530"/>
      <c r="WDT1" s="529"/>
      <c r="WDU1" s="529"/>
      <c r="WDV1" s="529"/>
      <c r="WDW1" s="529"/>
      <c r="WDX1" s="529"/>
      <c r="WDY1" s="529"/>
      <c r="WDZ1" s="529"/>
      <c r="WEA1" s="530"/>
      <c r="WEB1" s="529"/>
      <c r="WEC1" s="529"/>
      <c r="WED1" s="529"/>
      <c r="WEE1" s="529"/>
      <c r="WEF1" s="529"/>
      <c r="WEG1" s="529"/>
      <c r="WEH1" s="529"/>
      <c r="WEI1" s="530"/>
      <c r="WEJ1" s="529"/>
      <c r="WEK1" s="529"/>
      <c r="WEL1" s="529"/>
      <c r="WEM1" s="529"/>
      <c r="WEN1" s="529"/>
      <c r="WEO1" s="529"/>
      <c r="WEP1" s="529"/>
      <c r="WEQ1" s="530"/>
      <c r="WER1" s="529"/>
      <c r="WES1" s="529"/>
      <c r="WET1" s="529"/>
      <c r="WEU1" s="529"/>
      <c r="WEV1" s="529"/>
      <c r="WEW1" s="529"/>
      <c r="WEX1" s="529"/>
      <c r="WEY1" s="530"/>
      <c r="WEZ1" s="529"/>
      <c r="WFA1" s="529"/>
      <c r="WFB1" s="529"/>
      <c r="WFC1" s="529"/>
      <c r="WFD1" s="529"/>
      <c r="WFE1" s="529"/>
      <c r="WFF1" s="529"/>
      <c r="WFG1" s="530"/>
      <c r="WFH1" s="529"/>
      <c r="WFI1" s="529"/>
      <c r="WFJ1" s="529"/>
      <c r="WFK1" s="529"/>
      <c r="WFL1" s="529"/>
      <c r="WFM1" s="529"/>
      <c r="WFN1" s="529"/>
      <c r="WFO1" s="530"/>
      <c r="WFP1" s="529"/>
      <c r="WFQ1" s="529"/>
      <c r="WFR1" s="529"/>
      <c r="WFS1" s="529"/>
      <c r="WFT1" s="529"/>
      <c r="WFU1" s="529"/>
      <c r="WFV1" s="529"/>
      <c r="WFW1" s="530"/>
      <c r="WFX1" s="529"/>
      <c r="WFY1" s="529"/>
      <c r="WFZ1" s="529"/>
      <c r="WGA1" s="529"/>
      <c r="WGB1" s="529"/>
      <c r="WGC1" s="529"/>
      <c r="WGD1" s="529"/>
      <c r="WGE1" s="530"/>
      <c r="WGF1" s="529"/>
      <c r="WGG1" s="529"/>
      <c r="WGH1" s="529"/>
      <c r="WGI1" s="529"/>
      <c r="WGJ1" s="529"/>
      <c r="WGK1" s="529"/>
      <c r="WGL1" s="529"/>
      <c r="WGM1" s="530"/>
      <c r="WGN1" s="529"/>
      <c r="WGO1" s="529"/>
      <c r="WGP1" s="529"/>
      <c r="WGQ1" s="529"/>
      <c r="WGR1" s="529"/>
      <c r="WGS1" s="529"/>
      <c r="WGT1" s="529"/>
      <c r="WGU1" s="530"/>
      <c r="WGV1" s="529"/>
      <c r="WGW1" s="529"/>
      <c r="WGX1" s="529"/>
      <c r="WGY1" s="529"/>
      <c r="WGZ1" s="529"/>
      <c r="WHA1" s="529"/>
      <c r="WHB1" s="529"/>
      <c r="WHC1" s="530"/>
      <c r="WHD1" s="529"/>
      <c r="WHE1" s="529"/>
      <c r="WHF1" s="529"/>
      <c r="WHG1" s="529"/>
      <c r="WHH1" s="529"/>
      <c r="WHI1" s="529"/>
      <c r="WHJ1" s="529"/>
      <c r="WHK1" s="530"/>
      <c r="WHL1" s="529"/>
      <c r="WHM1" s="529"/>
      <c r="WHN1" s="529"/>
      <c r="WHO1" s="529"/>
      <c r="WHP1" s="529"/>
      <c r="WHQ1" s="529"/>
      <c r="WHR1" s="529"/>
      <c r="WHS1" s="530"/>
      <c r="WHT1" s="529"/>
      <c r="WHU1" s="529"/>
      <c r="WHV1" s="529"/>
      <c r="WHW1" s="529"/>
      <c r="WHX1" s="529"/>
      <c r="WHY1" s="529"/>
      <c r="WHZ1" s="529"/>
      <c r="WIA1" s="530"/>
      <c r="WIB1" s="529"/>
      <c r="WIC1" s="529"/>
      <c r="WID1" s="529"/>
      <c r="WIE1" s="529"/>
      <c r="WIF1" s="529"/>
      <c r="WIG1" s="529"/>
      <c r="WIH1" s="529"/>
      <c r="WII1" s="530"/>
      <c r="WIJ1" s="529"/>
      <c r="WIK1" s="529"/>
      <c r="WIL1" s="529"/>
      <c r="WIM1" s="529"/>
      <c r="WIN1" s="529"/>
      <c r="WIO1" s="529"/>
      <c r="WIP1" s="529"/>
      <c r="WIQ1" s="530"/>
      <c r="WIR1" s="529"/>
      <c r="WIS1" s="529"/>
      <c r="WIT1" s="529"/>
      <c r="WIU1" s="529"/>
      <c r="WIV1" s="529"/>
      <c r="WIW1" s="529"/>
      <c r="WIX1" s="529"/>
      <c r="WIY1" s="530"/>
      <c r="WIZ1" s="529"/>
      <c r="WJA1" s="529"/>
      <c r="WJB1" s="529"/>
      <c r="WJC1" s="529"/>
      <c r="WJD1" s="529"/>
      <c r="WJE1" s="529"/>
      <c r="WJF1" s="529"/>
      <c r="WJG1" s="530"/>
      <c r="WJH1" s="529"/>
      <c r="WJI1" s="529"/>
      <c r="WJJ1" s="529"/>
      <c r="WJK1" s="529"/>
      <c r="WJL1" s="529"/>
      <c r="WJM1" s="529"/>
      <c r="WJN1" s="529"/>
      <c r="WJO1" s="530"/>
      <c r="WJP1" s="529"/>
      <c r="WJQ1" s="529"/>
      <c r="WJR1" s="529"/>
      <c r="WJS1" s="529"/>
      <c r="WJT1" s="529"/>
      <c r="WJU1" s="529"/>
      <c r="WJV1" s="529"/>
      <c r="WJW1" s="530"/>
      <c r="WJX1" s="529"/>
      <c r="WJY1" s="529"/>
      <c r="WJZ1" s="529"/>
      <c r="WKA1" s="529"/>
      <c r="WKB1" s="529"/>
      <c r="WKC1" s="529"/>
      <c r="WKD1" s="529"/>
      <c r="WKE1" s="530"/>
      <c r="WKF1" s="529"/>
      <c r="WKG1" s="529"/>
      <c r="WKH1" s="529"/>
      <c r="WKI1" s="529"/>
      <c r="WKJ1" s="529"/>
      <c r="WKK1" s="529"/>
      <c r="WKL1" s="529"/>
      <c r="WKM1" s="530"/>
      <c r="WKN1" s="529"/>
      <c r="WKO1" s="529"/>
      <c r="WKP1" s="529"/>
      <c r="WKQ1" s="529"/>
      <c r="WKR1" s="529"/>
      <c r="WKS1" s="529"/>
      <c r="WKT1" s="529"/>
      <c r="WKU1" s="530"/>
      <c r="WKV1" s="529"/>
      <c r="WKW1" s="529"/>
      <c r="WKX1" s="529"/>
      <c r="WKY1" s="529"/>
      <c r="WKZ1" s="529"/>
      <c r="WLA1" s="529"/>
      <c r="WLB1" s="529"/>
      <c r="WLC1" s="530"/>
      <c r="WLD1" s="529"/>
      <c r="WLE1" s="529"/>
      <c r="WLF1" s="529"/>
      <c r="WLG1" s="529"/>
      <c r="WLH1" s="529"/>
      <c r="WLI1" s="529"/>
      <c r="WLJ1" s="529"/>
      <c r="WLK1" s="530"/>
      <c r="WLL1" s="529"/>
      <c r="WLM1" s="529"/>
      <c r="WLN1" s="529"/>
      <c r="WLO1" s="529"/>
      <c r="WLP1" s="529"/>
      <c r="WLQ1" s="529"/>
      <c r="WLR1" s="529"/>
      <c r="WLS1" s="530"/>
      <c r="WLT1" s="529"/>
      <c r="WLU1" s="529"/>
      <c r="WLV1" s="529"/>
      <c r="WLW1" s="529"/>
      <c r="WLX1" s="529"/>
      <c r="WLY1" s="529"/>
      <c r="WLZ1" s="529"/>
      <c r="WMA1" s="530"/>
      <c r="WMB1" s="529"/>
      <c r="WMC1" s="529"/>
      <c r="WMD1" s="529"/>
      <c r="WME1" s="529"/>
      <c r="WMF1" s="529"/>
      <c r="WMG1" s="529"/>
      <c r="WMH1" s="529"/>
      <c r="WMI1" s="530"/>
      <c r="WMJ1" s="529"/>
      <c r="WMK1" s="529"/>
      <c r="WML1" s="529"/>
      <c r="WMM1" s="529"/>
      <c r="WMN1" s="529"/>
      <c r="WMO1" s="529"/>
      <c r="WMP1" s="529"/>
      <c r="WMQ1" s="530"/>
      <c r="WMR1" s="529"/>
      <c r="WMS1" s="529"/>
      <c r="WMT1" s="529"/>
      <c r="WMU1" s="529"/>
      <c r="WMV1" s="529"/>
      <c r="WMW1" s="529"/>
      <c r="WMX1" s="529"/>
      <c r="WMY1" s="530"/>
      <c r="WMZ1" s="529"/>
      <c r="WNA1" s="529"/>
      <c r="WNB1" s="529"/>
      <c r="WNC1" s="529"/>
      <c r="WND1" s="529"/>
      <c r="WNE1" s="529"/>
      <c r="WNF1" s="529"/>
      <c r="WNG1" s="530"/>
      <c r="WNH1" s="529"/>
      <c r="WNI1" s="529"/>
      <c r="WNJ1" s="529"/>
      <c r="WNK1" s="529"/>
      <c r="WNL1" s="529"/>
      <c r="WNM1" s="529"/>
      <c r="WNN1" s="529"/>
      <c r="WNO1" s="530"/>
      <c r="WNP1" s="529"/>
      <c r="WNQ1" s="529"/>
      <c r="WNR1" s="529"/>
      <c r="WNS1" s="529"/>
      <c r="WNT1" s="529"/>
      <c r="WNU1" s="529"/>
      <c r="WNV1" s="529"/>
      <c r="WNW1" s="530"/>
      <c r="WNX1" s="529"/>
      <c r="WNY1" s="529"/>
      <c r="WNZ1" s="529"/>
      <c r="WOA1" s="529"/>
      <c r="WOB1" s="529"/>
      <c r="WOC1" s="529"/>
      <c r="WOD1" s="529"/>
      <c r="WOE1" s="530"/>
      <c r="WOF1" s="529"/>
      <c r="WOG1" s="529"/>
      <c r="WOH1" s="529"/>
      <c r="WOI1" s="529"/>
      <c r="WOJ1" s="529"/>
      <c r="WOK1" s="529"/>
      <c r="WOL1" s="529"/>
      <c r="WOM1" s="530"/>
      <c r="WON1" s="529"/>
      <c r="WOO1" s="529"/>
      <c r="WOP1" s="529"/>
      <c r="WOQ1" s="529"/>
      <c r="WOR1" s="529"/>
      <c r="WOS1" s="529"/>
      <c r="WOT1" s="529"/>
      <c r="WOU1" s="530"/>
      <c r="WOV1" s="529"/>
      <c r="WOW1" s="529"/>
      <c r="WOX1" s="529"/>
      <c r="WOY1" s="529"/>
      <c r="WOZ1" s="529"/>
      <c r="WPA1" s="529"/>
      <c r="WPB1" s="529"/>
      <c r="WPC1" s="530"/>
      <c r="WPD1" s="529"/>
      <c r="WPE1" s="529"/>
      <c r="WPF1" s="529"/>
      <c r="WPG1" s="529"/>
      <c r="WPH1" s="529"/>
      <c r="WPI1" s="529"/>
      <c r="WPJ1" s="529"/>
      <c r="WPK1" s="530"/>
      <c r="WPL1" s="529"/>
      <c r="WPM1" s="529"/>
      <c r="WPN1" s="529"/>
      <c r="WPO1" s="529"/>
      <c r="WPP1" s="529"/>
      <c r="WPQ1" s="529"/>
      <c r="WPR1" s="529"/>
      <c r="WPS1" s="530"/>
      <c r="WPT1" s="529"/>
      <c r="WPU1" s="529"/>
      <c r="WPV1" s="529"/>
      <c r="WPW1" s="529"/>
      <c r="WPX1" s="529"/>
      <c r="WPY1" s="529"/>
      <c r="WPZ1" s="529"/>
      <c r="WQA1" s="530"/>
      <c r="WQB1" s="529"/>
      <c r="WQC1" s="529"/>
      <c r="WQD1" s="529"/>
      <c r="WQE1" s="529"/>
      <c r="WQF1" s="529"/>
      <c r="WQG1" s="529"/>
      <c r="WQH1" s="529"/>
      <c r="WQI1" s="530"/>
      <c r="WQJ1" s="529"/>
      <c r="WQK1" s="529"/>
      <c r="WQL1" s="529"/>
      <c r="WQM1" s="529"/>
      <c r="WQN1" s="529"/>
      <c r="WQO1" s="529"/>
      <c r="WQP1" s="529"/>
      <c r="WQQ1" s="530"/>
      <c r="WQR1" s="529"/>
      <c r="WQS1" s="529"/>
      <c r="WQT1" s="529"/>
      <c r="WQU1" s="529"/>
      <c r="WQV1" s="529"/>
      <c r="WQW1" s="529"/>
      <c r="WQX1" s="529"/>
      <c r="WQY1" s="530"/>
      <c r="WQZ1" s="529"/>
      <c r="WRA1" s="529"/>
      <c r="WRB1" s="529"/>
      <c r="WRC1" s="529"/>
      <c r="WRD1" s="529"/>
      <c r="WRE1" s="529"/>
      <c r="WRF1" s="529"/>
      <c r="WRG1" s="530"/>
      <c r="WRH1" s="529"/>
      <c r="WRI1" s="529"/>
      <c r="WRJ1" s="529"/>
      <c r="WRK1" s="529"/>
      <c r="WRL1" s="529"/>
      <c r="WRM1" s="529"/>
      <c r="WRN1" s="529"/>
      <c r="WRO1" s="530"/>
      <c r="WRP1" s="529"/>
      <c r="WRQ1" s="529"/>
      <c r="WRR1" s="529"/>
      <c r="WRS1" s="529"/>
      <c r="WRT1" s="529"/>
      <c r="WRU1" s="529"/>
      <c r="WRV1" s="529"/>
      <c r="WRW1" s="530"/>
      <c r="WRX1" s="529"/>
      <c r="WRY1" s="529"/>
      <c r="WRZ1" s="529"/>
      <c r="WSA1" s="529"/>
      <c r="WSB1" s="529"/>
      <c r="WSC1" s="529"/>
      <c r="WSD1" s="529"/>
      <c r="WSE1" s="530"/>
      <c r="WSF1" s="529"/>
      <c r="WSG1" s="529"/>
      <c r="WSH1" s="529"/>
      <c r="WSI1" s="529"/>
      <c r="WSJ1" s="529"/>
      <c r="WSK1" s="529"/>
      <c r="WSL1" s="529"/>
      <c r="WSM1" s="530"/>
      <c r="WSN1" s="529"/>
      <c r="WSO1" s="529"/>
      <c r="WSP1" s="529"/>
      <c r="WSQ1" s="529"/>
      <c r="WSR1" s="529"/>
      <c r="WSS1" s="529"/>
      <c r="WST1" s="529"/>
      <c r="WSU1" s="530"/>
      <c r="WSV1" s="529"/>
      <c r="WSW1" s="529"/>
      <c r="WSX1" s="529"/>
      <c r="WSY1" s="529"/>
      <c r="WSZ1" s="529"/>
      <c r="WTA1" s="529"/>
      <c r="WTB1" s="529"/>
      <c r="WTC1" s="530"/>
      <c r="WTD1" s="529"/>
      <c r="WTE1" s="529"/>
      <c r="WTF1" s="529"/>
      <c r="WTG1" s="529"/>
      <c r="WTH1" s="529"/>
      <c r="WTI1" s="529"/>
      <c r="WTJ1" s="529"/>
      <c r="WTK1" s="530"/>
      <c r="WTL1" s="529"/>
      <c r="WTM1" s="529"/>
      <c r="WTN1" s="529"/>
      <c r="WTO1" s="529"/>
      <c r="WTP1" s="529"/>
      <c r="WTQ1" s="529"/>
      <c r="WTR1" s="529"/>
      <c r="WTS1" s="530"/>
      <c r="WTT1" s="529"/>
      <c r="WTU1" s="529"/>
      <c r="WTV1" s="529"/>
      <c r="WTW1" s="529"/>
      <c r="WTX1" s="529"/>
      <c r="WTY1" s="529"/>
      <c r="WTZ1" s="529"/>
      <c r="WUA1" s="530"/>
      <c r="WUB1" s="529"/>
      <c r="WUC1" s="529"/>
      <c r="WUD1" s="529"/>
      <c r="WUE1" s="529"/>
      <c r="WUF1" s="529"/>
      <c r="WUG1" s="529"/>
      <c r="WUH1" s="529"/>
      <c r="WUI1" s="530"/>
      <c r="WUJ1" s="529"/>
      <c r="WUK1" s="529"/>
      <c r="WUL1" s="529"/>
      <c r="WUM1" s="529"/>
      <c r="WUN1" s="529"/>
      <c r="WUO1" s="529"/>
      <c r="WUP1" s="529"/>
      <c r="WUQ1" s="530"/>
      <c r="WUR1" s="529"/>
      <c r="WUS1" s="529"/>
      <c r="WUT1" s="529"/>
      <c r="WUU1" s="529"/>
      <c r="WUV1" s="529"/>
      <c r="WUW1" s="529"/>
      <c r="WUX1" s="529"/>
      <c r="WUY1" s="530"/>
      <c r="WUZ1" s="529"/>
      <c r="WVA1" s="529"/>
      <c r="WVB1" s="529"/>
      <c r="WVC1" s="529"/>
      <c r="WVD1" s="529"/>
      <c r="WVE1" s="529"/>
      <c r="WVF1" s="529"/>
      <c r="WVG1" s="530"/>
      <c r="WVH1" s="529"/>
      <c r="WVI1" s="529"/>
      <c r="WVJ1" s="529"/>
      <c r="WVK1" s="529"/>
      <c r="WVL1" s="529"/>
      <c r="WVM1" s="529"/>
      <c r="WVN1" s="529"/>
      <c r="WVO1" s="530"/>
      <c r="WVP1" s="529"/>
      <c r="WVQ1" s="529"/>
      <c r="WVR1" s="529"/>
      <c r="WVS1" s="529"/>
      <c r="WVT1" s="529"/>
      <c r="WVU1" s="529"/>
      <c r="WVV1" s="529"/>
      <c r="WVW1" s="530"/>
      <c r="WVX1" s="529"/>
      <c r="WVY1" s="529"/>
      <c r="WVZ1" s="529"/>
      <c r="WWA1" s="529"/>
      <c r="WWB1" s="529"/>
      <c r="WWC1" s="529"/>
      <c r="WWD1" s="529"/>
      <c r="WWE1" s="530"/>
      <c r="WWF1" s="529"/>
      <c r="WWG1" s="529"/>
      <c r="WWH1" s="529"/>
      <c r="WWI1" s="529"/>
      <c r="WWJ1" s="529"/>
      <c r="WWK1" s="529"/>
      <c r="WWL1" s="529"/>
      <c r="WWM1" s="530"/>
      <c r="WWN1" s="529"/>
      <c r="WWO1" s="529"/>
      <c r="WWP1" s="529"/>
      <c r="WWQ1" s="529"/>
      <c r="WWR1" s="529"/>
      <c r="WWS1" s="529"/>
      <c r="WWT1" s="529"/>
      <c r="WWU1" s="530"/>
      <c r="WWV1" s="529"/>
      <c r="WWW1" s="529"/>
      <c r="WWX1" s="529"/>
      <c r="WWY1" s="529"/>
      <c r="WWZ1" s="529"/>
      <c r="WXA1" s="529"/>
      <c r="WXB1" s="529"/>
      <c r="WXC1" s="530"/>
      <c r="WXD1" s="529"/>
      <c r="WXE1" s="529"/>
      <c r="WXF1" s="529"/>
      <c r="WXG1" s="529"/>
      <c r="WXH1" s="529"/>
      <c r="WXI1" s="529"/>
      <c r="WXJ1" s="529"/>
      <c r="WXK1" s="530"/>
      <c r="WXL1" s="529"/>
      <c r="WXM1" s="529"/>
      <c r="WXN1" s="529"/>
      <c r="WXO1" s="529"/>
      <c r="WXP1" s="529"/>
      <c r="WXQ1" s="529"/>
      <c r="WXR1" s="529"/>
      <c r="WXS1" s="530"/>
      <c r="WXT1" s="529"/>
      <c r="WXU1" s="529"/>
      <c r="WXV1" s="529"/>
      <c r="WXW1" s="529"/>
      <c r="WXX1" s="529"/>
      <c r="WXY1" s="529"/>
      <c r="WXZ1" s="529"/>
      <c r="WYA1" s="530"/>
      <c r="WYB1" s="529"/>
      <c r="WYC1" s="529"/>
      <c r="WYD1" s="529"/>
      <c r="WYE1" s="529"/>
      <c r="WYF1" s="529"/>
      <c r="WYG1" s="529"/>
      <c r="WYH1" s="529"/>
      <c r="WYI1" s="530"/>
      <c r="WYJ1" s="529"/>
      <c r="WYK1" s="529"/>
      <c r="WYL1" s="529"/>
      <c r="WYM1" s="529"/>
      <c r="WYN1" s="529"/>
      <c r="WYO1" s="529"/>
      <c r="WYP1" s="529"/>
      <c r="WYQ1" s="530"/>
      <c r="WYR1" s="529"/>
      <c r="WYS1" s="529"/>
      <c r="WYT1" s="529"/>
      <c r="WYU1" s="529"/>
      <c r="WYV1" s="529"/>
      <c r="WYW1" s="529"/>
      <c r="WYX1" s="529"/>
      <c r="WYY1" s="530"/>
      <c r="WYZ1" s="529"/>
      <c r="WZA1" s="529"/>
      <c r="WZB1" s="529"/>
      <c r="WZC1" s="529"/>
      <c r="WZD1" s="529"/>
      <c r="WZE1" s="529"/>
      <c r="WZF1" s="529"/>
      <c r="WZG1" s="530"/>
      <c r="WZH1" s="529"/>
      <c r="WZI1" s="529"/>
      <c r="WZJ1" s="529"/>
      <c r="WZK1" s="529"/>
      <c r="WZL1" s="529"/>
      <c r="WZM1" s="529"/>
      <c r="WZN1" s="529"/>
      <c r="WZO1" s="530"/>
      <c r="WZP1" s="529"/>
      <c r="WZQ1" s="529"/>
      <c r="WZR1" s="529"/>
      <c r="WZS1" s="529"/>
      <c r="WZT1" s="529"/>
      <c r="WZU1" s="529"/>
      <c r="WZV1" s="529"/>
      <c r="WZW1" s="530"/>
      <c r="WZX1" s="529"/>
      <c r="WZY1" s="529"/>
      <c r="WZZ1" s="529"/>
      <c r="XAA1" s="529"/>
      <c r="XAB1" s="529"/>
      <c r="XAC1" s="529"/>
      <c r="XAD1" s="529"/>
      <c r="XAE1" s="530"/>
      <c r="XAF1" s="529"/>
      <c r="XAG1" s="529"/>
      <c r="XAH1" s="529"/>
      <c r="XAI1" s="529"/>
      <c r="XAJ1" s="529"/>
      <c r="XAK1" s="529"/>
      <c r="XAL1" s="529"/>
      <c r="XAM1" s="530"/>
      <c r="XAN1" s="529"/>
      <c r="XAO1" s="529"/>
      <c r="XAP1" s="529"/>
      <c r="XAQ1" s="529"/>
      <c r="XAR1" s="529"/>
      <c r="XAS1" s="529"/>
      <c r="XAT1" s="529"/>
      <c r="XAU1" s="530"/>
      <c r="XAV1" s="529"/>
      <c r="XAW1" s="529"/>
      <c r="XAX1" s="529"/>
      <c r="XAY1" s="529"/>
      <c r="XAZ1" s="529"/>
      <c r="XBA1" s="529"/>
      <c r="XBB1" s="529"/>
      <c r="XBC1" s="530"/>
      <c r="XBD1" s="529"/>
      <c r="XBE1" s="529"/>
      <c r="XBF1" s="529"/>
      <c r="XBG1" s="529"/>
      <c r="XBH1" s="529"/>
      <c r="XBI1" s="529"/>
      <c r="XBJ1" s="529"/>
      <c r="XBK1" s="530"/>
      <c r="XBL1" s="529"/>
      <c r="XBM1" s="529"/>
      <c r="XBN1" s="529"/>
      <c r="XBO1" s="529"/>
      <c r="XBP1" s="529"/>
      <c r="XBQ1" s="529"/>
      <c r="XBR1" s="529"/>
      <c r="XBS1" s="530"/>
      <c r="XBT1" s="529"/>
      <c r="XBU1" s="529"/>
      <c r="XBV1" s="529"/>
      <c r="XBW1" s="529"/>
      <c r="XBX1" s="529"/>
      <c r="XBY1" s="529"/>
      <c r="XBZ1" s="529"/>
      <c r="XCA1" s="530"/>
      <c r="XCB1" s="529"/>
      <c r="XCC1" s="529"/>
      <c r="XCD1" s="529"/>
      <c r="XCE1" s="529"/>
      <c r="XCF1" s="529"/>
      <c r="XCG1" s="529"/>
      <c r="XCH1" s="529"/>
      <c r="XCI1" s="530"/>
      <c r="XCJ1" s="529"/>
      <c r="XCK1" s="529"/>
      <c r="XCL1" s="529"/>
      <c r="XCM1" s="529"/>
      <c r="XCN1" s="529"/>
      <c r="XCO1" s="529"/>
      <c r="XCP1" s="529"/>
      <c r="XCQ1" s="530"/>
      <c r="XCR1" s="529"/>
      <c r="XCS1" s="529"/>
      <c r="XCT1" s="529"/>
      <c r="XCU1" s="529"/>
      <c r="XCV1" s="529"/>
      <c r="XCW1" s="529"/>
      <c r="XCX1" s="529"/>
      <c r="XCY1" s="530"/>
      <c r="XCZ1" s="529"/>
      <c r="XDA1" s="529"/>
      <c r="XDB1" s="529"/>
      <c r="XDC1" s="529"/>
      <c r="XDD1" s="529"/>
      <c r="XDE1" s="529"/>
      <c r="XDF1" s="529"/>
      <c r="XDG1" s="530"/>
      <c r="XDH1" s="529"/>
      <c r="XDI1" s="529"/>
      <c r="XDJ1" s="529"/>
      <c r="XDK1" s="529"/>
      <c r="XDL1" s="529"/>
      <c r="XDM1" s="529"/>
      <c r="XDN1" s="529"/>
      <c r="XDO1" s="530"/>
      <c r="XDP1" s="529"/>
      <c r="XDQ1" s="529"/>
      <c r="XDR1" s="529"/>
      <c r="XDS1" s="529"/>
      <c r="XDT1" s="529"/>
      <c r="XDU1" s="529"/>
      <c r="XDV1" s="529"/>
      <c r="XDW1" s="530"/>
      <c r="XDX1" s="529"/>
      <c r="XDY1" s="529"/>
      <c r="XDZ1" s="529"/>
      <c r="XEA1" s="529"/>
      <c r="XEB1" s="529"/>
      <c r="XEC1" s="529"/>
      <c r="XED1" s="529"/>
      <c r="XEE1" s="530"/>
      <c r="XEF1" s="529"/>
      <c r="XEG1" s="529"/>
      <c r="XEH1" s="529"/>
      <c r="XEI1" s="529"/>
      <c r="XEJ1" s="529"/>
      <c r="XEK1" s="529"/>
      <c r="XEL1" s="529"/>
      <c r="XEM1" s="530"/>
      <c r="XEN1" s="529"/>
      <c r="XEO1" s="529"/>
      <c r="XEP1" s="529"/>
      <c r="XEQ1" s="529"/>
      <c r="XER1" s="529"/>
      <c r="XES1" s="529"/>
      <c r="XET1" s="529"/>
      <c r="XEU1" s="530"/>
      <c r="XEV1" s="529"/>
      <c r="XEW1" s="529"/>
      <c r="XEX1" s="529"/>
      <c r="XEY1" s="529"/>
      <c r="XEZ1" s="529"/>
      <c r="XFA1" s="529"/>
      <c r="XFB1" s="529"/>
      <c r="XFC1" s="529"/>
    </row>
    <row r="2" spans="1:16383" ht="21" customHeight="1" thickBot="1" x14ac:dyDescent="0.35">
      <c r="B2" s="542" t="s">
        <v>189</v>
      </c>
      <c r="C2" s="543"/>
      <c r="D2" s="544"/>
      <c r="F2" s="545" t="s">
        <v>77</v>
      </c>
      <c r="G2" s="546"/>
      <c r="H2" s="544"/>
      <c r="I2"/>
      <c r="J2" s="539"/>
      <c r="K2" s="539"/>
      <c r="L2" s="539"/>
      <c r="N2" s="539"/>
      <c r="O2" s="539"/>
      <c r="P2" s="539"/>
      <c r="Q2"/>
      <c r="R2" s="539"/>
      <c r="S2" s="539"/>
      <c r="T2" s="539"/>
      <c r="U2" s="314"/>
      <c r="V2" s="314"/>
      <c r="W2" s="540"/>
      <c r="X2" s="540"/>
      <c r="Z2" s="539"/>
      <c r="AA2" s="539"/>
      <c r="AB2" s="539"/>
      <c r="AC2" s="540"/>
      <c r="AD2" s="540"/>
    </row>
    <row r="3" spans="1:16383" ht="21" customHeight="1" thickBot="1" x14ac:dyDescent="0.35">
      <c r="B3" s="416" t="s">
        <v>78</v>
      </c>
      <c r="C3" s="271" t="s">
        <v>0</v>
      </c>
      <c r="D3" s="413">
        <f>C4</f>
        <v>400</v>
      </c>
      <c r="F3" s="423" t="s">
        <v>79</v>
      </c>
      <c r="G3" s="459"/>
      <c r="H3" s="469">
        <f>SUM(H4:H11)</f>
        <v>250000</v>
      </c>
      <c r="I3"/>
      <c r="J3" s="314"/>
      <c r="K3" s="314"/>
      <c r="L3" s="314"/>
      <c r="N3" s="314"/>
      <c r="O3" s="314"/>
      <c r="P3" s="314"/>
      <c r="Q3"/>
      <c r="R3" s="314"/>
      <c r="S3" s="314"/>
      <c r="T3" s="314"/>
      <c r="U3" s="314"/>
      <c r="V3" s="314"/>
      <c r="W3" s="392"/>
      <c r="X3" s="392"/>
      <c r="Z3" s="314"/>
      <c r="AA3" s="314"/>
      <c r="AB3" s="314"/>
      <c r="AC3" s="392"/>
      <c r="AD3" s="392"/>
    </row>
    <row r="4" spans="1:16383" ht="19.05" customHeight="1" x14ac:dyDescent="0.3">
      <c r="B4" s="456" t="s">
        <v>194</v>
      </c>
      <c r="C4" s="413">
        <f>C6+C8</f>
        <v>400</v>
      </c>
      <c r="D4" s="462">
        <f>D6+D8+D10</f>
        <v>230000</v>
      </c>
      <c r="F4" s="276" t="s">
        <v>80</v>
      </c>
      <c r="G4" s="460"/>
      <c r="H4" s="468">
        <v>100000</v>
      </c>
      <c r="I4"/>
      <c r="J4" s="277"/>
      <c r="L4" s="317"/>
      <c r="Q4"/>
      <c r="U4" s="287"/>
      <c r="V4" s="286"/>
      <c r="W4" s="286"/>
      <c r="X4" s="288"/>
      <c r="Z4" s="285"/>
      <c r="AA4" s="286"/>
      <c r="AB4" s="287"/>
      <c r="AC4" s="286"/>
      <c r="AD4" s="288"/>
    </row>
    <row r="5" spans="1:16383" ht="17.55" customHeight="1" x14ac:dyDescent="0.3">
      <c r="B5" s="416" t="s">
        <v>81</v>
      </c>
      <c r="C5" s="271">
        <v>120</v>
      </c>
      <c r="D5" s="417"/>
      <c r="F5" s="276" t="s">
        <v>82</v>
      </c>
      <c r="G5" s="460"/>
      <c r="H5" s="462">
        <v>50000</v>
      </c>
      <c r="I5"/>
      <c r="J5" s="95"/>
      <c r="K5" s="319"/>
      <c r="L5" s="317"/>
      <c r="N5" s="82"/>
      <c r="O5" s="318"/>
      <c r="P5" s="317"/>
      <c r="Q5"/>
      <c r="R5" s="82"/>
      <c r="S5" s="424"/>
      <c r="T5" s="317"/>
      <c r="U5" s="284"/>
      <c r="V5" s="284"/>
      <c r="W5" s="283"/>
      <c r="X5" s="290"/>
      <c r="Z5" s="289"/>
      <c r="AA5" s="184"/>
      <c r="AB5" s="283"/>
      <c r="AC5" s="283"/>
      <c r="AD5" s="290"/>
    </row>
    <row r="6" spans="1:16383" ht="18.75" customHeight="1" x14ac:dyDescent="0.3">
      <c r="B6" s="456" t="s">
        <v>83</v>
      </c>
      <c r="C6" s="413">
        <v>250</v>
      </c>
      <c r="D6" s="462">
        <v>120000</v>
      </c>
      <c r="F6" s="422" t="s">
        <v>84</v>
      </c>
      <c r="G6" s="460"/>
      <c r="H6" s="462">
        <v>25000</v>
      </c>
      <c r="I6"/>
      <c r="J6" s="95"/>
      <c r="K6" s="320"/>
      <c r="L6" s="317"/>
      <c r="N6" s="84"/>
      <c r="O6" s="321"/>
      <c r="P6" s="317"/>
      <c r="Q6"/>
      <c r="R6" s="84"/>
      <c r="T6" s="317"/>
      <c r="U6" s="284"/>
      <c r="V6" s="284"/>
      <c r="W6" s="283"/>
      <c r="X6" s="291"/>
      <c r="Z6" s="289"/>
      <c r="AA6" s="184"/>
      <c r="AB6" s="283"/>
      <c r="AC6" s="283"/>
      <c r="AD6" s="291"/>
    </row>
    <row r="7" spans="1:16383" ht="18.75" customHeight="1" x14ac:dyDescent="0.3">
      <c r="B7" s="416" t="s">
        <v>81</v>
      </c>
      <c r="C7" s="271">
        <v>80</v>
      </c>
      <c r="D7" s="273"/>
      <c r="F7" s="414" t="s">
        <v>85</v>
      </c>
      <c r="G7" s="460"/>
      <c r="H7" s="462">
        <v>5000</v>
      </c>
      <c r="I7"/>
      <c r="J7" s="277"/>
      <c r="K7" s="94"/>
      <c r="L7" s="317"/>
      <c r="N7" s="84"/>
      <c r="O7" s="94"/>
      <c r="P7" s="317"/>
      <c r="Q7"/>
      <c r="R7" s="84"/>
      <c r="T7" s="317"/>
      <c r="U7" s="284"/>
      <c r="V7" s="284"/>
      <c r="W7" s="283"/>
      <c r="X7" s="291"/>
      <c r="Z7" s="289"/>
      <c r="AA7" s="184"/>
      <c r="AB7" s="283"/>
      <c r="AC7" s="283"/>
      <c r="AD7" s="291"/>
    </row>
    <row r="8" spans="1:16383" ht="18.75" customHeight="1" x14ac:dyDescent="0.3">
      <c r="B8" s="456" t="s">
        <v>86</v>
      </c>
      <c r="C8" s="413">
        <v>150</v>
      </c>
      <c r="D8" s="462">
        <v>60000</v>
      </c>
      <c r="F8" s="418" t="s">
        <v>87</v>
      </c>
      <c r="G8" s="460"/>
      <c r="H8" s="462">
        <v>5000</v>
      </c>
      <c r="I8"/>
      <c r="J8" s="82"/>
      <c r="K8" s="94"/>
      <c r="L8" s="317"/>
      <c r="N8" s="84"/>
      <c r="O8" s="321"/>
      <c r="P8" s="317"/>
      <c r="Q8"/>
      <c r="R8" s="84"/>
      <c r="S8" s="94"/>
      <c r="T8" s="317"/>
      <c r="U8" s="284"/>
      <c r="V8" s="284"/>
      <c r="W8" s="283"/>
      <c r="X8" s="291"/>
      <c r="Z8" s="289"/>
      <c r="AA8" s="184"/>
      <c r="AB8" s="283"/>
      <c r="AC8" s="283"/>
      <c r="AD8" s="291"/>
    </row>
    <row r="9" spans="1:16383" ht="21.6" customHeight="1" x14ac:dyDescent="0.3">
      <c r="B9" s="416" t="s">
        <v>81</v>
      </c>
      <c r="C9" s="457">
        <v>40</v>
      </c>
      <c r="D9" s="273"/>
      <c r="F9" s="419" t="s">
        <v>88</v>
      </c>
      <c r="G9" s="460"/>
      <c r="H9" s="462">
        <v>10000</v>
      </c>
      <c r="I9"/>
      <c r="J9" s="84"/>
      <c r="K9" s="94"/>
      <c r="L9" s="317"/>
      <c r="N9" s="84"/>
      <c r="O9" s="321"/>
      <c r="P9" s="317"/>
      <c r="Q9"/>
      <c r="R9" s="84"/>
      <c r="T9" s="317"/>
      <c r="U9" s="284"/>
      <c r="V9" s="284"/>
      <c r="W9" s="283"/>
      <c r="X9" s="291"/>
      <c r="Z9" s="289"/>
      <c r="AA9" s="184"/>
      <c r="AB9" s="283"/>
      <c r="AC9" s="283"/>
      <c r="AD9" s="291"/>
    </row>
    <row r="10" spans="1:16383" ht="21.6" customHeight="1" thickBot="1" x14ac:dyDescent="0.35">
      <c r="B10" s="470" t="s">
        <v>193</v>
      </c>
      <c r="C10" s="458"/>
      <c r="D10" s="514">
        <v>50000</v>
      </c>
      <c r="F10" s="276" t="s">
        <v>89</v>
      </c>
      <c r="G10" s="460"/>
      <c r="H10" s="514">
        <v>30000</v>
      </c>
      <c r="I10"/>
      <c r="J10" s="95"/>
      <c r="K10" s="322"/>
      <c r="L10" s="317"/>
      <c r="N10" s="323"/>
      <c r="O10" s="94"/>
      <c r="P10" s="281"/>
      <c r="Q10"/>
      <c r="R10" s="292"/>
      <c r="S10" s="94"/>
      <c r="T10" s="281"/>
      <c r="U10" s="284"/>
      <c r="V10" s="284"/>
      <c r="W10" s="283"/>
      <c r="X10" s="291"/>
      <c r="Z10" s="289"/>
      <c r="AA10" s="184"/>
      <c r="AB10" s="283"/>
      <c r="AC10" s="283"/>
      <c r="AD10" s="291"/>
    </row>
    <row r="11" spans="1:16383" ht="20.100000000000001" customHeight="1" thickBot="1" x14ac:dyDescent="0.35">
      <c r="B11" s="471" t="s">
        <v>190</v>
      </c>
      <c r="C11" s="513"/>
      <c r="D11" s="515">
        <f>D4</f>
        <v>230000</v>
      </c>
      <c r="F11" s="414" t="s">
        <v>90</v>
      </c>
      <c r="G11" s="516"/>
      <c r="H11" s="517">
        <v>25000</v>
      </c>
      <c r="I11"/>
      <c r="J11" s="538"/>
      <c r="K11" s="538"/>
      <c r="L11" s="538"/>
      <c r="N11" s="95"/>
      <c r="Q11"/>
      <c r="W11" s="291"/>
      <c r="X11" s="293"/>
      <c r="Y11" s="184"/>
      <c r="Z11" s="284"/>
      <c r="AA11" s="284"/>
      <c r="AB11" s="283"/>
      <c r="AC11" s="291"/>
      <c r="AE11" s="289"/>
      <c r="AF11" s="184"/>
      <c r="AG11" s="283"/>
      <c r="AH11" s="283"/>
      <c r="AI11" s="291"/>
    </row>
    <row r="12" spans="1:16383" ht="21.75" customHeight="1" thickBot="1" x14ac:dyDescent="0.35">
      <c r="A12" s="313"/>
      <c r="B12" s="313"/>
      <c r="C12" s="313"/>
      <c r="D12" s="313"/>
      <c r="E12" s="313"/>
      <c r="F12" s="313"/>
      <c r="G12" s="313"/>
      <c r="H12" s="95"/>
      <c r="I12" s="313"/>
      <c r="J12" s="313"/>
      <c r="K12" s="313"/>
      <c r="L12" s="313"/>
      <c r="M12" s="313"/>
      <c r="N12" s="313"/>
      <c r="O12" s="313"/>
      <c r="P12" s="95"/>
      <c r="Q12" s="313"/>
      <c r="R12" s="313"/>
      <c r="S12" s="313"/>
      <c r="T12" s="313"/>
      <c r="U12" s="313"/>
      <c r="V12" s="313"/>
      <c r="W12" s="95"/>
      <c r="X12" s="313"/>
      <c r="Y12" s="313"/>
      <c r="Z12" s="313"/>
      <c r="AA12" s="313"/>
      <c r="AB12" s="313"/>
      <c r="AC12" s="313"/>
      <c r="AD12" s="313"/>
      <c r="AE12" s="95"/>
      <c r="AF12" s="313"/>
      <c r="AG12" s="313"/>
      <c r="AH12" s="313"/>
      <c r="AI12" s="313"/>
      <c r="AJ12" s="313"/>
      <c r="AK12" s="313"/>
      <c r="AL12" s="313"/>
      <c r="AM12" s="95"/>
      <c r="AN12" s="313"/>
      <c r="AO12" s="313"/>
      <c r="AP12" s="313"/>
      <c r="AQ12" s="313"/>
      <c r="AR12" s="313"/>
      <c r="AS12" s="313"/>
      <c r="AT12" s="313"/>
      <c r="AU12" s="95"/>
      <c r="AV12" s="313"/>
      <c r="AW12" s="313"/>
      <c r="AX12" s="313"/>
      <c r="AY12" s="313"/>
      <c r="AZ12" s="313"/>
      <c r="BA12" s="313"/>
      <c r="BB12" s="313"/>
      <c r="BC12" s="95"/>
      <c r="BD12" s="313"/>
      <c r="BE12" s="313"/>
      <c r="BF12" s="313"/>
      <c r="BG12" s="313"/>
      <c r="BH12" s="313"/>
      <c r="BI12" s="313"/>
      <c r="BJ12" s="313"/>
      <c r="BK12" s="95"/>
      <c r="BL12" s="313"/>
      <c r="BM12" s="313"/>
      <c r="BN12" s="313"/>
      <c r="BO12" s="313"/>
      <c r="BP12" s="313"/>
      <c r="BQ12" s="313"/>
      <c r="BR12" s="313"/>
      <c r="BS12" s="95"/>
      <c r="BT12" s="313"/>
      <c r="BU12" s="313"/>
      <c r="BV12" s="313"/>
      <c r="BW12" s="313"/>
      <c r="BX12" s="313"/>
      <c r="BY12" s="313"/>
      <c r="BZ12" s="313"/>
      <c r="CA12" s="95"/>
      <c r="CB12" s="313"/>
      <c r="CC12" s="313"/>
      <c r="CD12" s="313"/>
      <c r="CE12" s="313"/>
      <c r="CF12" s="313"/>
      <c r="CG12" s="313"/>
      <c r="CH12" s="313"/>
      <c r="CI12" s="95"/>
      <c r="CJ12" s="313"/>
      <c r="CK12" s="313"/>
      <c r="CL12" s="313"/>
      <c r="CM12" s="313"/>
      <c r="CN12" s="313"/>
      <c r="CO12" s="313"/>
      <c r="CP12" s="313"/>
      <c r="CQ12" s="95"/>
      <c r="CR12" s="313"/>
      <c r="CS12" s="313"/>
      <c r="CT12" s="313"/>
      <c r="CU12" s="313"/>
      <c r="CV12" s="313"/>
      <c r="CW12" s="313"/>
      <c r="CX12" s="313"/>
      <c r="CY12" s="95"/>
      <c r="CZ12" s="313"/>
      <c r="DA12" s="313"/>
      <c r="DB12" s="313"/>
      <c r="DC12" s="313"/>
      <c r="DD12" s="313"/>
      <c r="DE12" s="313"/>
      <c r="DF12" s="313"/>
      <c r="DG12" s="95"/>
      <c r="DH12" s="313"/>
      <c r="DI12" s="313"/>
      <c r="DJ12" s="313"/>
      <c r="DK12" s="313"/>
      <c r="DL12" s="313"/>
      <c r="DM12" s="313"/>
      <c r="DN12" s="313"/>
      <c r="DO12" s="95"/>
      <c r="DP12" s="313"/>
      <c r="DQ12" s="313"/>
      <c r="DR12" s="313"/>
      <c r="DS12" s="313"/>
      <c r="DT12" s="313"/>
      <c r="DU12" s="313"/>
      <c r="DV12" s="313"/>
      <c r="DW12" s="95"/>
      <c r="DX12" s="313"/>
      <c r="DY12" s="313"/>
      <c r="DZ12" s="313"/>
      <c r="EA12" s="313"/>
      <c r="EB12" s="313"/>
      <c r="EC12" s="313"/>
      <c r="ED12" s="313"/>
      <c r="EE12" s="95"/>
      <c r="EF12" s="313"/>
      <c r="EG12" s="313"/>
      <c r="EH12" s="313"/>
      <c r="EI12" s="313"/>
      <c r="EJ12" s="313"/>
      <c r="EK12" s="313"/>
      <c r="EL12" s="313"/>
      <c r="EM12" s="95"/>
      <c r="EN12" s="313"/>
      <c r="EO12" s="313"/>
      <c r="EP12" s="313"/>
      <c r="EQ12" s="313"/>
      <c r="ER12" s="313"/>
      <c r="ES12" s="313"/>
      <c r="ET12" s="313"/>
      <c r="EU12" s="95"/>
      <c r="EV12" s="313"/>
      <c r="EW12" s="313"/>
      <c r="EX12" s="313"/>
      <c r="EY12" s="313"/>
      <c r="EZ12" s="313"/>
      <c r="FA12" s="313"/>
      <c r="FB12" s="313"/>
      <c r="FC12" s="95"/>
      <c r="FD12" s="313"/>
      <c r="FE12" s="313"/>
      <c r="FF12" s="313"/>
      <c r="FG12" s="313"/>
      <c r="FH12" s="313"/>
      <c r="FI12" s="313"/>
      <c r="FJ12" s="313"/>
      <c r="FK12" s="95"/>
      <c r="FL12" s="313"/>
      <c r="FM12" s="313"/>
      <c r="FN12" s="313"/>
      <c r="FO12" s="313"/>
      <c r="FP12" s="313"/>
      <c r="FQ12" s="313"/>
      <c r="FR12" s="313"/>
      <c r="FS12" s="95"/>
      <c r="FT12" s="313"/>
      <c r="FU12" s="313"/>
      <c r="FV12" s="313"/>
      <c r="FW12" s="313"/>
      <c r="FX12" s="313"/>
      <c r="FY12" s="313"/>
      <c r="FZ12" s="313"/>
      <c r="GA12" s="95"/>
      <c r="GB12" s="313"/>
      <c r="GC12" s="313"/>
      <c r="GD12" s="313"/>
      <c r="GE12" s="313"/>
      <c r="GF12" s="313"/>
      <c r="GG12" s="313"/>
      <c r="GH12" s="313"/>
      <c r="GI12" s="95"/>
      <c r="GJ12" s="313"/>
      <c r="GK12" s="313"/>
      <c r="GL12" s="313"/>
      <c r="GM12" s="313"/>
      <c r="GN12" s="313"/>
      <c r="GO12" s="313"/>
      <c r="GP12" s="313"/>
      <c r="GQ12" s="95"/>
      <c r="GR12" s="313"/>
      <c r="GS12" s="313"/>
      <c r="GT12" s="313"/>
      <c r="GU12" s="313"/>
      <c r="GV12" s="313"/>
      <c r="GW12" s="313"/>
      <c r="GX12" s="313"/>
      <c r="GY12" s="95"/>
      <c r="GZ12" s="313"/>
      <c r="HA12" s="313"/>
      <c r="HB12" s="313"/>
      <c r="HC12" s="313"/>
      <c r="HD12" s="313"/>
      <c r="HE12" s="313"/>
      <c r="HF12" s="313"/>
      <c r="HG12" s="95"/>
      <c r="HH12" s="313"/>
      <c r="HI12" s="313"/>
      <c r="HJ12" s="313"/>
      <c r="HK12" s="313"/>
      <c r="HL12" s="313"/>
      <c r="HM12" s="313"/>
      <c r="HN12" s="313"/>
      <c r="HO12" s="95"/>
      <c r="HP12" s="313"/>
      <c r="HQ12" s="313"/>
      <c r="HR12" s="313"/>
      <c r="HS12" s="313"/>
      <c r="HT12" s="313"/>
      <c r="HU12" s="313"/>
      <c r="HV12" s="313"/>
      <c r="HW12" s="95"/>
      <c r="HX12" s="313"/>
      <c r="HY12" s="313"/>
      <c r="HZ12" s="313"/>
      <c r="IA12" s="313"/>
      <c r="IB12" s="313"/>
      <c r="IC12" s="313"/>
      <c r="ID12" s="313"/>
      <c r="IE12" s="95"/>
      <c r="IF12" s="313"/>
      <c r="IG12" s="313"/>
      <c r="IH12" s="313"/>
      <c r="II12" s="313"/>
      <c r="IJ12" s="313"/>
      <c r="IK12" s="313"/>
      <c r="IL12" s="313"/>
      <c r="IM12" s="95"/>
      <c r="IN12" s="313"/>
      <c r="IO12" s="313"/>
      <c r="IP12" s="313"/>
      <c r="IQ12" s="313"/>
      <c r="IR12" s="313"/>
      <c r="IS12" s="313"/>
      <c r="IT12" s="313"/>
      <c r="IU12" s="95"/>
      <c r="IV12" s="313"/>
      <c r="IW12" s="313"/>
      <c r="IX12" s="313"/>
      <c r="IY12" s="313"/>
      <c r="IZ12" s="313"/>
      <c r="JA12" s="313"/>
      <c r="JB12" s="313"/>
      <c r="JC12" s="95"/>
      <c r="JD12" s="313"/>
      <c r="JE12" s="313"/>
      <c r="JF12" s="313"/>
      <c r="JG12" s="313"/>
      <c r="JH12" s="313"/>
      <c r="JI12" s="313"/>
      <c r="JJ12" s="313"/>
      <c r="JK12" s="95"/>
      <c r="JL12" s="313"/>
      <c r="JM12" s="313"/>
      <c r="JN12" s="313"/>
      <c r="JO12" s="313"/>
      <c r="JP12" s="313"/>
      <c r="JQ12" s="313"/>
      <c r="JR12" s="313"/>
      <c r="JS12" s="95"/>
      <c r="JT12" s="313"/>
      <c r="JU12" s="313"/>
      <c r="JV12" s="313"/>
      <c r="JW12" s="313"/>
      <c r="JX12" s="313"/>
      <c r="JY12" s="313"/>
      <c r="JZ12" s="313"/>
      <c r="KA12" s="95"/>
      <c r="KB12" s="313"/>
      <c r="KC12" s="313"/>
      <c r="KD12" s="313"/>
      <c r="KE12" s="313"/>
      <c r="KF12" s="313"/>
      <c r="KG12" s="313"/>
      <c r="KH12" s="313"/>
      <c r="KI12" s="95"/>
      <c r="KJ12" s="313"/>
      <c r="KK12" s="313"/>
      <c r="KL12" s="313"/>
      <c r="KM12" s="313"/>
      <c r="KN12" s="313"/>
      <c r="KO12" s="313"/>
      <c r="KP12" s="313"/>
      <c r="KQ12" s="95"/>
      <c r="KR12" s="313"/>
      <c r="KS12" s="313"/>
      <c r="KT12" s="313"/>
      <c r="KU12" s="313"/>
      <c r="KV12" s="313"/>
      <c r="KW12" s="313"/>
      <c r="KX12" s="313"/>
      <c r="KY12" s="95"/>
      <c r="KZ12" s="313"/>
      <c r="LA12" s="313"/>
      <c r="LB12" s="313"/>
      <c r="LC12" s="313"/>
      <c r="LD12" s="313"/>
      <c r="LE12" s="313"/>
      <c r="LF12" s="313"/>
      <c r="LG12" s="95"/>
      <c r="LH12" s="313"/>
      <c r="LI12" s="313"/>
      <c r="LJ12" s="313"/>
      <c r="LK12" s="313"/>
      <c r="LL12" s="313"/>
      <c r="LM12" s="313"/>
      <c r="LN12" s="313"/>
      <c r="LO12" s="95"/>
      <c r="LP12" s="313"/>
      <c r="LQ12" s="313"/>
      <c r="LR12" s="313"/>
      <c r="LS12" s="313"/>
      <c r="LT12" s="313"/>
      <c r="LU12" s="313"/>
      <c r="LV12" s="313"/>
      <c r="LW12" s="95"/>
      <c r="LX12" s="313"/>
      <c r="LY12" s="313"/>
      <c r="LZ12" s="313"/>
      <c r="MA12" s="313"/>
      <c r="MB12" s="313"/>
      <c r="MC12" s="313"/>
      <c r="MD12" s="313"/>
      <c r="ME12" s="95"/>
      <c r="MF12" s="313"/>
      <c r="MG12" s="313"/>
      <c r="MH12" s="313"/>
      <c r="MI12" s="313"/>
      <c r="MJ12" s="313"/>
      <c r="MK12" s="313"/>
      <c r="ML12" s="313"/>
      <c r="MM12" s="95"/>
      <c r="MN12" s="313"/>
      <c r="MO12" s="313"/>
      <c r="MP12" s="313"/>
      <c r="MQ12" s="313"/>
      <c r="MR12" s="313"/>
      <c r="MS12" s="313"/>
      <c r="MT12" s="313"/>
      <c r="MU12" s="95"/>
      <c r="MV12" s="313"/>
      <c r="MW12" s="313"/>
      <c r="MX12" s="313"/>
      <c r="MY12" s="313"/>
      <c r="MZ12" s="313"/>
      <c r="NA12" s="313"/>
      <c r="NB12" s="313"/>
      <c r="NC12" s="95"/>
      <c r="ND12" s="313"/>
      <c r="NE12" s="313"/>
      <c r="NF12" s="313"/>
      <c r="NG12" s="313"/>
      <c r="NH12" s="313"/>
      <c r="NI12" s="313"/>
      <c r="NJ12" s="313"/>
      <c r="NK12" s="95"/>
      <c r="NL12" s="313"/>
      <c r="NM12" s="313"/>
      <c r="NN12" s="313"/>
      <c r="NO12" s="313"/>
      <c r="NP12" s="313"/>
      <c r="NQ12" s="313"/>
      <c r="NR12" s="313"/>
      <c r="NS12" s="95"/>
      <c r="NT12" s="313"/>
      <c r="NU12" s="313"/>
      <c r="NV12" s="313"/>
      <c r="NW12" s="313"/>
      <c r="NX12" s="313"/>
      <c r="NY12" s="313"/>
      <c r="NZ12" s="313"/>
      <c r="OA12" s="95"/>
      <c r="OB12" s="313"/>
      <c r="OC12" s="313"/>
      <c r="OD12" s="313"/>
      <c r="OE12" s="313"/>
      <c r="OF12" s="313"/>
      <c r="OG12" s="313"/>
      <c r="OH12" s="313"/>
      <c r="OI12" s="95"/>
      <c r="OJ12" s="313"/>
      <c r="OK12" s="313"/>
      <c r="OL12" s="313"/>
      <c r="OM12" s="313"/>
      <c r="ON12" s="313"/>
      <c r="OO12" s="313"/>
      <c r="OP12" s="313"/>
      <c r="OQ12" s="95"/>
      <c r="OR12" s="313"/>
      <c r="OS12" s="313"/>
      <c r="OT12" s="313"/>
      <c r="OU12" s="313"/>
      <c r="OV12" s="313"/>
      <c r="OW12" s="313"/>
      <c r="OX12" s="313"/>
      <c r="OY12" s="95"/>
      <c r="OZ12" s="313"/>
      <c r="PA12" s="313"/>
      <c r="PB12" s="313"/>
      <c r="PC12" s="313"/>
      <c r="PD12" s="313"/>
      <c r="PE12" s="313"/>
      <c r="PF12" s="313"/>
      <c r="PG12" s="95"/>
      <c r="PH12" s="313"/>
      <c r="PI12" s="313"/>
      <c r="PJ12" s="313"/>
      <c r="PK12" s="313"/>
      <c r="PL12" s="313"/>
      <c r="PM12" s="313"/>
      <c r="PN12" s="313"/>
      <c r="PO12" s="95"/>
      <c r="PP12" s="313"/>
      <c r="PQ12" s="313"/>
      <c r="PR12" s="313"/>
      <c r="PS12" s="313"/>
      <c r="PT12" s="313"/>
      <c r="PU12" s="313"/>
      <c r="PV12" s="313"/>
      <c r="PW12" s="95"/>
      <c r="PX12" s="313"/>
      <c r="PY12" s="313"/>
      <c r="PZ12" s="313"/>
      <c r="QA12" s="313"/>
      <c r="QB12" s="313"/>
      <c r="QC12" s="313"/>
      <c r="QD12" s="313"/>
      <c r="QE12" s="95"/>
      <c r="QF12" s="313"/>
      <c r="QG12" s="313"/>
      <c r="QH12" s="313"/>
      <c r="QI12" s="313"/>
      <c r="QJ12" s="313"/>
      <c r="QK12" s="313"/>
      <c r="QL12" s="313"/>
      <c r="QM12" s="95"/>
      <c r="QN12" s="313"/>
      <c r="QO12" s="313"/>
      <c r="QP12" s="313"/>
      <c r="QQ12" s="313"/>
      <c r="QR12" s="313"/>
      <c r="QS12" s="313"/>
      <c r="QT12" s="313"/>
      <c r="QU12" s="95"/>
      <c r="QV12" s="313"/>
      <c r="QW12" s="313"/>
      <c r="QX12" s="313"/>
      <c r="QY12" s="313"/>
      <c r="QZ12" s="313"/>
      <c r="RA12" s="313"/>
      <c r="RB12" s="313"/>
      <c r="RC12" s="95"/>
      <c r="RD12" s="313"/>
      <c r="RE12" s="313"/>
      <c r="RF12" s="313"/>
      <c r="RG12" s="313"/>
      <c r="RH12" s="313"/>
      <c r="RI12" s="313"/>
      <c r="RJ12" s="313"/>
      <c r="RK12" s="95"/>
      <c r="RL12" s="313"/>
      <c r="RM12" s="313"/>
      <c r="RN12" s="313"/>
      <c r="RO12" s="313"/>
      <c r="RP12" s="313"/>
      <c r="RQ12" s="313"/>
      <c r="RR12" s="313"/>
      <c r="RS12" s="95"/>
      <c r="RT12" s="313"/>
      <c r="RU12" s="313"/>
      <c r="RV12" s="313"/>
      <c r="RW12" s="313"/>
      <c r="RX12" s="313"/>
      <c r="RY12" s="313"/>
      <c r="RZ12" s="313"/>
      <c r="SA12" s="95"/>
      <c r="SB12" s="313"/>
      <c r="SC12" s="313"/>
      <c r="SD12" s="313"/>
      <c r="SE12" s="313"/>
      <c r="SF12" s="313"/>
      <c r="SG12" s="313"/>
      <c r="SH12" s="313"/>
      <c r="SI12" s="95"/>
      <c r="SJ12" s="313"/>
      <c r="SK12" s="313"/>
      <c r="SL12" s="313"/>
      <c r="SM12" s="313"/>
      <c r="SN12" s="313"/>
      <c r="SO12" s="313"/>
      <c r="SP12" s="313"/>
      <c r="SQ12" s="95"/>
      <c r="SR12" s="313"/>
      <c r="SS12" s="313"/>
      <c r="ST12" s="313"/>
      <c r="SU12" s="313"/>
      <c r="SV12" s="313"/>
      <c r="SW12" s="313"/>
      <c r="SX12" s="313"/>
      <c r="SY12" s="95"/>
      <c r="SZ12" s="313"/>
      <c r="TA12" s="313"/>
      <c r="TB12" s="313"/>
      <c r="TC12" s="313"/>
      <c r="TD12" s="313"/>
      <c r="TE12" s="313"/>
      <c r="TF12" s="313"/>
      <c r="TG12" s="95"/>
      <c r="TH12" s="313"/>
      <c r="TI12" s="313"/>
      <c r="TJ12" s="313"/>
      <c r="TK12" s="313"/>
      <c r="TL12" s="313"/>
      <c r="TM12" s="313"/>
      <c r="TN12" s="313"/>
      <c r="TO12" s="95"/>
      <c r="TP12" s="313"/>
      <c r="TQ12" s="313"/>
      <c r="TR12" s="313"/>
      <c r="TS12" s="313"/>
      <c r="TT12" s="313"/>
      <c r="TU12" s="313"/>
      <c r="TV12" s="313"/>
      <c r="TW12" s="95"/>
      <c r="TX12" s="313"/>
      <c r="TY12" s="313"/>
      <c r="TZ12" s="313"/>
      <c r="UA12" s="313"/>
      <c r="UB12" s="313"/>
      <c r="UC12" s="313"/>
      <c r="UD12" s="313"/>
      <c r="UE12" s="95"/>
      <c r="UF12" s="313"/>
      <c r="UG12" s="313"/>
      <c r="UH12" s="313"/>
      <c r="UI12" s="313"/>
      <c r="UJ12" s="313"/>
      <c r="UK12" s="313"/>
      <c r="UL12" s="313"/>
      <c r="UM12" s="95"/>
      <c r="UN12" s="313"/>
      <c r="UO12" s="313"/>
      <c r="UP12" s="313"/>
      <c r="UQ12" s="313"/>
      <c r="UR12" s="313"/>
      <c r="US12" s="313"/>
      <c r="UT12" s="313"/>
      <c r="UU12" s="95"/>
      <c r="UV12" s="313"/>
      <c r="UW12" s="313"/>
      <c r="UX12" s="313"/>
      <c r="UY12" s="313"/>
      <c r="UZ12" s="313"/>
      <c r="VA12" s="313"/>
      <c r="VB12" s="313"/>
      <c r="VC12" s="95"/>
      <c r="VD12" s="313"/>
      <c r="VE12" s="313"/>
      <c r="VF12" s="313"/>
      <c r="VG12" s="313"/>
      <c r="VH12" s="313"/>
      <c r="VI12" s="313"/>
      <c r="VJ12" s="313"/>
      <c r="VK12" s="95"/>
      <c r="VL12" s="313"/>
      <c r="VM12" s="313"/>
      <c r="VN12" s="313"/>
      <c r="VO12" s="313"/>
      <c r="VP12" s="313"/>
      <c r="VQ12" s="313"/>
      <c r="VR12" s="313"/>
      <c r="VS12" s="95"/>
      <c r="VT12" s="313"/>
      <c r="VU12" s="313"/>
      <c r="VV12" s="313"/>
      <c r="VW12" s="313"/>
      <c r="VX12" s="313"/>
      <c r="VY12" s="313"/>
      <c r="VZ12" s="313"/>
      <c r="WA12" s="95"/>
      <c r="WB12" s="313"/>
      <c r="WC12" s="313"/>
      <c r="WD12" s="313"/>
      <c r="WE12" s="313"/>
      <c r="WF12" s="313"/>
      <c r="WG12" s="313"/>
      <c r="WH12" s="313"/>
      <c r="WI12" s="95"/>
      <c r="WJ12" s="313"/>
      <c r="WK12" s="313"/>
      <c r="WL12" s="313"/>
      <c r="WM12" s="313"/>
      <c r="WN12" s="313"/>
      <c r="WO12" s="313"/>
      <c r="WP12" s="313"/>
      <c r="WQ12" s="95"/>
      <c r="WR12" s="313"/>
      <c r="WS12" s="313"/>
      <c r="WT12" s="313"/>
      <c r="WU12" s="313"/>
      <c r="WV12" s="313"/>
      <c r="WW12" s="313"/>
      <c r="WX12" s="313"/>
      <c r="WY12" s="95"/>
      <c r="WZ12" s="313"/>
      <c r="XA12" s="313"/>
      <c r="XB12" s="313"/>
      <c r="XC12" s="313"/>
      <c r="XD12" s="313"/>
      <c r="XE12" s="313"/>
      <c r="XF12" s="313"/>
      <c r="XG12" s="95"/>
      <c r="XH12" s="313"/>
      <c r="XI12" s="313"/>
      <c r="XJ12" s="313"/>
      <c r="XK12" s="313"/>
      <c r="XL12" s="313"/>
      <c r="XM12" s="313"/>
      <c r="XN12" s="313"/>
      <c r="XO12" s="95"/>
      <c r="XP12" s="313"/>
      <c r="XQ12" s="313"/>
      <c r="XR12" s="313"/>
      <c r="XS12" s="313"/>
      <c r="XT12" s="313"/>
      <c r="XU12" s="313"/>
      <c r="XV12" s="313"/>
      <c r="XW12" s="95"/>
      <c r="XX12" s="313"/>
      <c r="XY12" s="313"/>
      <c r="XZ12" s="313"/>
      <c r="YA12" s="313"/>
      <c r="YB12" s="313"/>
      <c r="YC12" s="313"/>
      <c r="YD12" s="313"/>
      <c r="YE12" s="95"/>
      <c r="YF12" s="313"/>
      <c r="YG12" s="313"/>
      <c r="YH12" s="313"/>
      <c r="YI12" s="313"/>
      <c r="YJ12" s="313"/>
      <c r="YK12" s="313"/>
      <c r="YL12" s="313"/>
      <c r="YM12" s="95"/>
      <c r="YN12" s="313"/>
      <c r="YO12" s="313"/>
      <c r="YP12" s="313"/>
      <c r="YQ12" s="313"/>
      <c r="YR12" s="313"/>
      <c r="YS12" s="313"/>
      <c r="YT12" s="313"/>
      <c r="YU12" s="95"/>
      <c r="YV12" s="313"/>
      <c r="YW12" s="313"/>
      <c r="YX12" s="313"/>
      <c r="YY12" s="313"/>
      <c r="YZ12" s="313"/>
      <c r="ZA12" s="313"/>
      <c r="ZB12" s="313"/>
      <c r="ZC12" s="95"/>
      <c r="ZD12" s="313"/>
      <c r="ZE12" s="313"/>
      <c r="ZF12" s="313"/>
      <c r="ZG12" s="313"/>
      <c r="ZH12" s="313"/>
      <c r="ZI12" s="313"/>
      <c r="ZJ12" s="313"/>
      <c r="ZK12" s="95"/>
      <c r="ZL12" s="313"/>
      <c r="ZM12" s="313"/>
      <c r="ZN12" s="313"/>
      <c r="ZO12" s="313"/>
      <c r="ZP12" s="313"/>
      <c r="ZQ12" s="313"/>
      <c r="ZR12" s="313"/>
      <c r="ZS12" s="95"/>
      <c r="ZT12" s="313"/>
      <c r="ZU12" s="313"/>
      <c r="ZV12" s="313"/>
      <c r="ZW12" s="313"/>
      <c r="ZX12" s="313"/>
      <c r="ZY12" s="313"/>
      <c r="ZZ12" s="313"/>
      <c r="AAA12" s="95"/>
      <c r="AAB12" s="313"/>
      <c r="AAC12" s="313"/>
      <c r="AAD12" s="313"/>
      <c r="AAE12" s="313"/>
      <c r="AAF12" s="313"/>
      <c r="AAG12" s="313"/>
      <c r="AAH12" s="313"/>
      <c r="AAI12" s="95"/>
      <c r="AAJ12" s="313"/>
      <c r="AAK12" s="313"/>
      <c r="AAL12" s="313"/>
      <c r="AAM12" s="313"/>
      <c r="AAN12" s="313"/>
      <c r="AAO12" s="313"/>
      <c r="AAP12" s="313"/>
      <c r="AAQ12" s="95"/>
      <c r="AAR12" s="313"/>
      <c r="AAS12" s="313"/>
      <c r="AAT12" s="313"/>
      <c r="AAU12" s="313"/>
      <c r="AAV12" s="313"/>
      <c r="AAW12" s="313"/>
      <c r="AAX12" s="313"/>
      <c r="AAY12" s="95"/>
      <c r="AAZ12" s="313"/>
      <c r="ABA12" s="313"/>
      <c r="ABB12" s="313"/>
      <c r="ABC12" s="313"/>
      <c r="ABD12" s="313"/>
      <c r="ABE12" s="313"/>
      <c r="ABF12" s="313"/>
      <c r="ABG12" s="95"/>
      <c r="ABH12" s="313"/>
      <c r="ABI12" s="313"/>
      <c r="ABJ12" s="313"/>
      <c r="ABK12" s="313"/>
      <c r="ABL12" s="313"/>
      <c r="ABM12" s="313"/>
      <c r="ABN12" s="313"/>
      <c r="ABO12" s="95"/>
      <c r="ABP12" s="313"/>
      <c r="ABQ12" s="313"/>
      <c r="ABR12" s="313"/>
      <c r="ABS12" s="313"/>
      <c r="ABT12" s="313"/>
      <c r="ABU12" s="313"/>
      <c r="ABV12" s="313"/>
      <c r="ABW12" s="95"/>
      <c r="ABX12" s="313"/>
      <c r="ABY12" s="313"/>
      <c r="ABZ12" s="313"/>
      <c r="ACA12" s="313"/>
      <c r="ACB12" s="313"/>
      <c r="ACC12" s="313"/>
      <c r="ACD12" s="313"/>
      <c r="ACE12" s="95"/>
      <c r="ACF12" s="313"/>
      <c r="ACG12" s="313"/>
      <c r="ACH12" s="313"/>
      <c r="ACI12" s="313"/>
      <c r="ACJ12" s="313"/>
      <c r="ACK12" s="313"/>
      <c r="ACL12" s="313"/>
      <c r="ACM12" s="95"/>
      <c r="ACN12" s="313"/>
      <c r="ACO12" s="313"/>
      <c r="ACP12" s="313"/>
      <c r="ACQ12" s="313"/>
      <c r="ACR12" s="313"/>
      <c r="ACS12" s="313"/>
      <c r="ACT12" s="313"/>
      <c r="ACU12" s="95"/>
      <c r="ACV12" s="313"/>
      <c r="ACW12" s="313"/>
      <c r="ACX12" s="313"/>
      <c r="ACY12" s="313"/>
      <c r="ACZ12" s="313"/>
      <c r="ADA12" s="313"/>
      <c r="ADB12" s="313"/>
      <c r="ADC12" s="95"/>
      <c r="ADD12" s="313"/>
      <c r="ADE12" s="313"/>
      <c r="ADF12" s="313"/>
      <c r="ADG12" s="313"/>
      <c r="ADH12" s="313"/>
      <c r="ADI12" s="313"/>
      <c r="ADJ12" s="313"/>
      <c r="ADK12" s="95"/>
      <c r="ADL12" s="313"/>
      <c r="ADM12" s="313"/>
      <c r="ADN12" s="313"/>
      <c r="ADO12" s="313"/>
      <c r="ADP12" s="313"/>
      <c r="ADQ12" s="313"/>
      <c r="ADR12" s="313"/>
      <c r="ADS12" s="95"/>
      <c r="ADT12" s="313"/>
      <c r="ADU12" s="313"/>
      <c r="ADV12" s="313"/>
      <c r="ADW12" s="313"/>
      <c r="ADX12" s="313"/>
      <c r="ADY12" s="313"/>
      <c r="ADZ12" s="313"/>
      <c r="AEA12" s="95"/>
      <c r="AEB12" s="313"/>
      <c r="AEC12" s="313"/>
      <c r="AED12" s="313"/>
      <c r="AEE12" s="313"/>
      <c r="AEF12" s="313"/>
      <c r="AEG12" s="313"/>
      <c r="AEH12" s="313"/>
      <c r="AEI12" s="95"/>
      <c r="AEJ12" s="313"/>
      <c r="AEK12" s="313"/>
      <c r="AEL12" s="313"/>
      <c r="AEM12" s="313"/>
      <c r="AEN12" s="313"/>
      <c r="AEO12" s="313"/>
      <c r="AEP12" s="313"/>
      <c r="AEQ12" s="95"/>
      <c r="AER12" s="313"/>
      <c r="AES12" s="313"/>
      <c r="AET12" s="313"/>
      <c r="AEU12" s="313"/>
      <c r="AEV12" s="313"/>
      <c r="AEW12" s="313"/>
      <c r="AEX12" s="313"/>
      <c r="AEY12" s="95"/>
      <c r="AEZ12" s="313"/>
      <c r="AFA12" s="313"/>
      <c r="AFB12" s="313"/>
      <c r="AFC12" s="313"/>
      <c r="AFD12" s="313"/>
      <c r="AFE12" s="313"/>
      <c r="AFF12" s="313"/>
      <c r="AFG12" s="95"/>
      <c r="AFH12" s="313"/>
      <c r="AFI12" s="313"/>
      <c r="AFJ12" s="313"/>
      <c r="AFK12" s="313"/>
      <c r="AFL12" s="313"/>
      <c r="AFM12" s="313"/>
      <c r="AFN12" s="313"/>
      <c r="AFO12" s="95"/>
      <c r="AFP12" s="313"/>
      <c r="AFQ12" s="313"/>
      <c r="AFR12" s="313"/>
      <c r="AFS12" s="313"/>
      <c r="AFT12" s="313"/>
      <c r="AFU12" s="313"/>
      <c r="AFV12" s="313"/>
      <c r="AFW12" s="95"/>
      <c r="AFX12" s="313"/>
      <c r="AFY12" s="313"/>
      <c r="AFZ12" s="313"/>
      <c r="AGA12" s="313"/>
      <c r="AGB12" s="313"/>
      <c r="AGC12" s="313"/>
      <c r="AGD12" s="313"/>
      <c r="AGE12" s="95"/>
      <c r="AGF12" s="313"/>
      <c r="AGG12" s="313"/>
      <c r="AGH12" s="313"/>
      <c r="AGI12" s="313"/>
      <c r="AGJ12" s="313"/>
      <c r="AGK12" s="313"/>
      <c r="AGL12" s="313"/>
      <c r="AGM12" s="95"/>
      <c r="AGN12" s="313"/>
      <c r="AGO12" s="313"/>
      <c r="AGP12" s="313"/>
      <c r="AGQ12" s="313"/>
      <c r="AGR12" s="313"/>
      <c r="AGS12" s="313"/>
      <c r="AGT12" s="313"/>
      <c r="AGU12" s="95"/>
      <c r="AGV12" s="313"/>
      <c r="AGW12" s="313"/>
      <c r="AGX12" s="313"/>
      <c r="AGY12" s="313"/>
      <c r="AGZ12" s="313"/>
      <c r="AHA12" s="313"/>
      <c r="AHB12" s="313"/>
      <c r="AHC12" s="95"/>
      <c r="AHD12" s="313"/>
      <c r="AHE12" s="313"/>
      <c r="AHF12" s="313"/>
      <c r="AHG12" s="313"/>
      <c r="AHH12" s="313"/>
      <c r="AHI12" s="313"/>
      <c r="AHJ12" s="313"/>
      <c r="AHK12" s="95"/>
      <c r="AHL12" s="313"/>
      <c r="AHM12" s="313"/>
      <c r="AHN12" s="313"/>
      <c r="AHO12" s="313"/>
      <c r="AHP12" s="313"/>
      <c r="AHQ12" s="313"/>
      <c r="AHR12" s="313"/>
      <c r="AHS12" s="95"/>
      <c r="AHT12" s="313"/>
      <c r="AHU12" s="313"/>
      <c r="AHV12" s="313"/>
      <c r="AHW12" s="313"/>
      <c r="AHX12" s="313"/>
      <c r="AHY12" s="313"/>
      <c r="AHZ12" s="313"/>
      <c r="AIA12" s="95"/>
      <c r="AIB12" s="313"/>
      <c r="AIC12" s="313"/>
      <c r="AID12" s="313"/>
      <c r="AIE12" s="313"/>
      <c r="AIF12" s="313"/>
      <c r="AIG12" s="313"/>
      <c r="AIH12" s="313"/>
      <c r="AII12" s="95"/>
      <c r="AIJ12" s="313"/>
      <c r="AIK12" s="313"/>
      <c r="AIL12" s="313"/>
      <c r="AIM12" s="313"/>
      <c r="AIN12" s="313"/>
      <c r="AIO12" s="313"/>
      <c r="AIP12" s="313"/>
      <c r="AIQ12" s="95"/>
      <c r="AIR12" s="313"/>
      <c r="AIS12" s="313"/>
      <c r="AIT12" s="313"/>
      <c r="AIU12" s="313"/>
      <c r="AIV12" s="313"/>
      <c r="AIW12" s="313"/>
      <c r="AIX12" s="313"/>
      <c r="AIY12" s="95"/>
      <c r="AIZ12" s="313"/>
      <c r="AJA12" s="313"/>
      <c r="AJB12" s="313"/>
      <c r="AJC12" s="313"/>
      <c r="AJD12" s="313"/>
      <c r="AJE12" s="313"/>
      <c r="AJF12" s="313"/>
      <c r="AJG12" s="95"/>
      <c r="AJH12" s="313"/>
      <c r="AJI12" s="313"/>
      <c r="AJJ12" s="313"/>
      <c r="AJK12" s="313"/>
      <c r="AJL12" s="313"/>
      <c r="AJM12" s="313"/>
      <c r="AJN12" s="313"/>
      <c r="AJO12" s="95"/>
      <c r="AJP12" s="313"/>
      <c r="AJQ12" s="313"/>
      <c r="AJR12" s="313"/>
      <c r="AJS12" s="313"/>
      <c r="AJT12" s="313"/>
      <c r="AJU12" s="313"/>
      <c r="AJV12" s="313"/>
      <c r="AJW12" s="95"/>
      <c r="AJX12" s="313"/>
      <c r="AJY12" s="313"/>
      <c r="AJZ12" s="313"/>
      <c r="AKA12" s="313"/>
      <c r="AKB12" s="313"/>
      <c r="AKC12" s="313"/>
      <c r="AKD12" s="313"/>
      <c r="AKE12" s="95"/>
      <c r="AKF12" s="313"/>
      <c r="AKG12" s="313"/>
      <c r="AKH12" s="313"/>
      <c r="AKI12" s="313"/>
      <c r="AKJ12" s="313"/>
      <c r="AKK12" s="313"/>
      <c r="AKL12" s="313"/>
      <c r="AKM12" s="95"/>
      <c r="AKN12" s="313"/>
      <c r="AKO12" s="313"/>
      <c r="AKP12" s="313"/>
      <c r="AKQ12" s="313"/>
      <c r="AKR12" s="313"/>
      <c r="AKS12" s="313"/>
      <c r="AKT12" s="313"/>
      <c r="AKU12" s="95"/>
      <c r="AKV12" s="313"/>
      <c r="AKW12" s="313"/>
      <c r="AKX12" s="313"/>
      <c r="AKY12" s="313"/>
      <c r="AKZ12" s="313"/>
      <c r="ALA12" s="313"/>
      <c r="ALB12" s="313"/>
      <c r="ALC12" s="95"/>
      <c r="ALD12" s="313"/>
      <c r="ALE12" s="313"/>
      <c r="ALF12" s="313"/>
      <c r="ALG12" s="313"/>
      <c r="ALH12" s="313"/>
      <c r="ALI12" s="313"/>
      <c r="ALJ12" s="313"/>
      <c r="ALK12" s="95"/>
      <c r="ALL12" s="313"/>
      <c r="ALM12" s="313"/>
      <c r="ALN12" s="313"/>
      <c r="ALO12" s="313"/>
      <c r="ALP12" s="313"/>
      <c r="ALQ12" s="313"/>
      <c r="ALR12" s="313"/>
      <c r="ALS12" s="95"/>
      <c r="ALT12" s="313"/>
      <c r="ALU12" s="313"/>
      <c r="ALV12" s="313"/>
      <c r="ALW12" s="313"/>
      <c r="ALX12" s="313"/>
      <c r="ALY12" s="313"/>
      <c r="ALZ12" s="313"/>
      <c r="AMA12" s="95"/>
      <c r="AMB12" s="313"/>
      <c r="AMC12" s="313"/>
      <c r="AMD12" s="313"/>
      <c r="AME12" s="313"/>
      <c r="AMF12" s="313"/>
      <c r="AMG12" s="313"/>
      <c r="AMH12" s="313"/>
      <c r="AMI12" s="95"/>
      <c r="AMJ12" s="313"/>
      <c r="AMK12" s="313"/>
      <c r="AML12" s="313"/>
      <c r="AMM12" s="313"/>
      <c r="AMN12" s="313"/>
      <c r="AMO12" s="313"/>
      <c r="AMP12" s="313"/>
      <c r="AMQ12" s="95"/>
      <c r="AMR12" s="313"/>
      <c r="AMS12" s="313"/>
      <c r="AMT12" s="313"/>
      <c r="AMU12" s="313"/>
      <c r="AMV12" s="313"/>
      <c r="AMW12" s="313"/>
      <c r="AMX12" s="313"/>
      <c r="AMY12" s="95"/>
      <c r="AMZ12" s="313"/>
      <c r="ANA12" s="313"/>
      <c r="ANB12" s="313"/>
      <c r="ANC12" s="313"/>
      <c r="AND12" s="313"/>
      <c r="ANE12" s="313"/>
      <c r="ANF12" s="313"/>
      <c r="ANG12" s="95"/>
      <c r="ANH12" s="313"/>
      <c r="ANI12" s="313"/>
      <c r="ANJ12" s="313"/>
      <c r="ANK12" s="313"/>
      <c r="ANL12" s="313"/>
      <c r="ANM12" s="313"/>
      <c r="ANN12" s="313"/>
      <c r="ANO12" s="95"/>
      <c r="ANP12" s="313"/>
      <c r="ANQ12" s="313"/>
      <c r="ANR12" s="313"/>
      <c r="ANS12" s="313"/>
      <c r="ANT12" s="313"/>
      <c r="ANU12" s="313"/>
      <c r="ANV12" s="313"/>
      <c r="ANW12" s="95"/>
      <c r="ANX12" s="313"/>
      <c r="ANY12" s="313"/>
      <c r="ANZ12" s="313"/>
      <c r="AOA12" s="313"/>
      <c r="AOB12" s="313"/>
      <c r="AOC12" s="313"/>
      <c r="AOD12" s="313"/>
      <c r="AOE12" s="95"/>
      <c r="AOF12" s="313"/>
      <c r="AOG12" s="313"/>
      <c r="AOH12" s="313"/>
      <c r="AOI12" s="313"/>
      <c r="AOJ12" s="313"/>
      <c r="AOK12" s="313"/>
      <c r="AOL12" s="313"/>
      <c r="AOM12" s="95"/>
      <c r="AON12" s="313"/>
      <c r="AOO12" s="313"/>
      <c r="AOP12" s="313"/>
      <c r="AOQ12" s="313"/>
      <c r="AOR12" s="313"/>
      <c r="AOS12" s="313"/>
      <c r="AOT12" s="313"/>
      <c r="AOU12" s="95"/>
      <c r="AOV12" s="313"/>
      <c r="AOW12" s="313"/>
      <c r="AOX12" s="313"/>
      <c r="AOY12" s="313"/>
      <c r="AOZ12" s="313"/>
      <c r="APA12" s="313"/>
      <c r="APB12" s="313"/>
      <c r="APC12" s="95"/>
      <c r="APD12" s="313"/>
      <c r="APE12" s="313"/>
      <c r="APF12" s="313"/>
      <c r="APG12" s="313"/>
      <c r="APH12" s="313"/>
      <c r="API12" s="313"/>
      <c r="APJ12" s="313"/>
      <c r="APK12" s="95"/>
      <c r="APL12" s="313"/>
      <c r="APM12" s="313"/>
      <c r="APN12" s="313"/>
      <c r="APO12" s="313"/>
      <c r="APP12" s="313"/>
      <c r="APQ12" s="313"/>
      <c r="APR12" s="313"/>
      <c r="APS12" s="95"/>
      <c r="APT12" s="313"/>
      <c r="APU12" s="313"/>
      <c r="APV12" s="313"/>
      <c r="APW12" s="313"/>
      <c r="APX12" s="313"/>
      <c r="APY12" s="313"/>
      <c r="APZ12" s="313"/>
      <c r="AQA12" s="95"/>
      <c r="AQB12" s="313"/>
      <c r="AQC12" s="313"/>
      <c r="AQD12" s="313"/>
      <c r="AQE12" s="313"/>
      <c r="AQF12" s="313"/>
      <c r="AQG12" s="313"/>
      <c r="AQH12" s="313"/>
      <c r="AQI12" s="95"/>
      <c r="AQJ12" s="313"/>
      <c r="AQK12" s="313"/>
      <c r="AQL12" s="313"/>
      <c r="AQM12" s="313"/>
      <c r="AQN12" s="313"/>
      <c r="AQO12" s="313"/>
      <c r="AQP12" s="313"/>
      <c r="AQQ12" s="95"/>
      <c r="AQR12" s="313"/>
      <c r="AQS12" s="313"/>
      <c r="AQT12" s="313"/>
      <c r="AQU12" s="313"/>
      <c r="AQV12" s="313"/>
      <c r="AQW12" s="313"/>
      <c r="AQX12" s="313"/>
      <c r="AQY12" s="95"/>
      <c r="AQZ12" s="313"/>
      <c r="ARA12" s="313"/>
      <c r="ARB12" s="313"/>
      <c r="ARC12" s="313"/>
      <c r="ARD12" s="313"/>
      <c r="ARE12" s="313"/>
      <c r="ARF12" s="313"/>
      <c r="ARG12" s="95"/>
      <c r="ARH12" s="313"/>
      <c r="ARI12" s="313"/>
      <c r="ARJ12" s="313"/>
      <c r="ARK12" s="313"/>
      <c r="ARL12" s="313"/>
      <c r="ARM12" s="313"/>
      <c r="ARN12" s="313"/>
      <c r="ARO12" s="95"/>
      <c r="ARP12" s="313"/>
      <c r="ARQ12" s="313"/>
      <c r="ARR12" s="313"/>
      <c r="ARS12" s="313"/>
      <c r="ART12" s="313"/>
      <c r="ARU12" s="313"/>
      <c r="ARV12" s="313"/>
      <c r="ARW12" s="95"/>
      <c r="ARX12" s="313"/>
      <c r="ARY12" s="313"/>
      <c r="ARZ12" s="313"/>
      <c r="ASA12" s="313"/>
      <c r="ASB12" s="313"/>
      <c r="ASC12" s="313"/>
      <c r="ASD12" s="313"/>
      <c r="ASE12" s="95"/>
      <c r="ASF12" s="313"/>
      <c r="ASG12" s="313"/>
      <c r="ASH12" s="313"/>
      <c r="ASI12" s="313"/>
      <c r="ASJ12" s="313"/>
      <c r="ASK12" s="313"/>
      <c r="ASL12" s="313"/>
      <c r="ASM12" s="95"/>
      <c r="ASN12" s="313"/>
      <c r="ASO12" s="313"/>
      <c r="ASP12" s="313"/>
      <c r="ASQ12" s="313"/>
      <c r="ASR12" s="313"/>
      <c r="ASS12" s="313"/>
      <c r="AST12" s="313"/>
      <c r="ASU12" s="95"/>
      <c r="ASV12" s="313"/>
      <c r="ASW12" s="313"/>
      <c r="ASX12" s="313"/>
      <c r="ASY12" s="313"/>
      <c r="ASZ12" s="313"/>
      <c r="ATA12" s="313"/>
      <c r="ATB12" s="313"/>
      <c r="ATC12" s="95"/>
      <c r="ATD12" s="313"/>
      <c r="ATE12" s="313"/>
      <c r="ATF12" s="313"/>
      <c r="ATG12" s="313"/>
      <c r="ATH12" s="313"/>
      <c r="ATI12" s="313"/>
      <c r="ATJ12" s="313"/>
      <c r="ATK12" s="95"/>
      <c r="ATL12" s="313"/>
      <c r="ATM12" s="313"/>
      <c r="ATN12" s="313"/>
      <c r="ATO12" s="313"/>
      <c r="ATP12" s="313"/>
      <c r="ATQ12" s="313"/>
      <c r="ATR12" s="313"/>
      <c r="ATS12" s="95"/>
      <c r="ATT12" s="313"/>
      <c r="ATU12" s="313"/>
      <c r="ATV12" s="313"/>
      <c r="ATW12" s="313"/>
      <c r="ATX12" s="313"/>
      <c r="ATY12" s="313"/>
      <c r="ATZ12" s="313"/>
      <c r="AUA12" s="95"/>
      <c r="AUB12" s="313"/>
      <c r="AUC12" s="313"/>
      <c r="AUD12" s="313"/>
      <c r="AUE12" s="313"/>
      <c r="AUF12" s="313"/>
      <c r="AUG12" s="313"/>
      <c r="AUH12" s="313"/>
      <c r="AUI12" s="95"/>
      <c r="AUJ12" s="313"/>
      <c r="AUK12" s="313"/>
      <c r="AUL12" s="313"/>
      <c r="AUM12" s="313"/>
      <c r="AUN12" s="313"/>
      <c r="AUO12" s="313"/>
      <c r="AUP12" s="313"/>
      <c r="AUQ12" s="95"/>
      <c r="AUR12" s="313"/>
      <c r="AUS12" s="313"/>
      <c r="AUT12" s="313"/>
      <c r="AUU12" s="313"/>
      <c r="AUV12" s="313"/>
      <c r="AUW12" s="313"/>
      <c r="AUX12" s="313"/>
      <c r="AUY12" s="95"/>
      <c r="AUZ12" s="313"/>
      <c r="AVA12" s="313"/>
      <c r="AVB12" s="313"/>
      <c r="AVC12" s="313"/>
      <c r="AVD12" s="313"/>
      <c r="AVE12" s="313"/>
      <c r="AVF12" s="313"/>
      <c r="AVG12" s="95"/>
      <c r="AVH12" s="313"/>
      <c r="AVI12" s="313"/>
      <c r="AVJ12" s="313"/>
      <c r="AVK12" s="313"/>
      <c r="AVL12" s="313"/>
      <c r="AVM12" s="313"/>
      <c r="AVN12" s="313"/>
      <c r="AVO12" s="95"/>
      <c r="AVP12" s="313"/>
      <c r="AVQ12" s="313"/>
      <c r="AVR12" s="313"/>
      <c r="AVS12" s="313"/>
      <c r="AVT12" s="313"/>
      <c r="AVU12" s="313"/>
      <c r="AVV12" s="313"/>
      <c r="AVW12" s="95"/>
      <c r="AVX12" s="313"/>
      <c r="AVY12" s="313"/>
      <c r="AVZ12" s="313"/>
      <c r="AWA12" s="313"/>
      <c r="AWB12" s="313"/>
      <c r="AWC12" s="313"/>
      <c r="AWD12" s="313"/>
      <c r="AWE12" s="95"/>
      <c r="AWF12" s="313"/>
      <c r="AWG12" s="313"/>
      <c r="AWH12" s="313"/>
      <c r="AWI12" s="313"/>
      <c r="AWJ12" s="313"/>
      <c r="AWK12" s="313"/>
      <c r="AWL12" s="313"/>
      <c r="AWM12" s="95"/>
      <c r="AWN12" s="313"/>
      <c r="AWO12" s="313"/>
      <c r="AWP12" s="313"/>
      <c r="AWQ12" s="313"/>
      <c r="AWR12" s="313"/>
      <c r="AWS12" s="313"/>
      <c r="AWT12" s="313"/>
      <c r="AWU12" s="95"/>
      <c r="AWV12" s="313"/>
      <c r="AWW12" s="313"/>
      <c r="AWX12" s="313"/>
      <c r="AWY12" s="313"/>
      <c r="AWZ12" s="313"/>
      <c r="AXA12" s="313"/>
      <c r="AXB12" s="313"/>
      <c r="AXC12" s="95"/>
      <c r="AXD12" s="313"/>
      <c r="AXE12" s="313"/>
      <c r="AXF12" s="313"/>
      <c r="AXG12" s="313"/>
      <c r="AXH12" s="313"/>
      <c r="AXI12" s="313"/>
      <c r="AXJ12" s="313"/>
      <c r="AXK12" s="95"/>
      <c r="AXL12" s="313"/>
      <c r="AXM12" s="313"/>
      <c r="AXN12" s="313"/>
      <c r="AXO12" s="313"/>
      <c r="AXP12" s="313"/>
      <c r="AXQ12" s="313"/>
      <c r="AXR12" s="313"/>
      <c r="AXS12" s="95"/>
      <c r="AXT12" s="313"/>
      <c r="AXU12" s="313"/>
      <c r="AXV12" s="313"/>
      <c r="AXW12" s="313"/>
      <c r="AXX12" s="313"/>
      <c r="AXY12" s="313"/>
      <c r="AXZ12" s="313"/>
      <c r="AYA12" s="95"/>
      <c r="AYB12" s="313"/>
      <c r="AYC12" s="313"/>
      <c r="AYD12" s="313"/>
      <c r="AYE12" s="313"/>
      <c r="AYF12" s="313"/>
      <c r="AYG12" s="313"/>
      <c r="AYH12" s="313"/>
      <c r="AYI12" s="95"/>
      <c r="AYJ12" s="313"/>
      <c r="AYK12" s="313"/>
      <c r="AYL12" s="313"/>
      <c r="AYM12" s="313"/>
      <c r="AYN12" s="313"/>
      <c r="AYO12" s="313"/>
      <c r="AYP12" s="313"/>
      <c r="AYQ12" s="95"/>
      <c r="AYR12" s="313"/>
      <c r="AYS12" s="313"/>
      <c r="AYT12" s="313"/>
      <c r="AYU12" s="313"/>
      <c r="AYV12" s="313"/>
      <c r="AYW12" s="313"/>
      <c r="AYX12" s="313"/>
      <c r="AYY12" s="95"/>
      <c r="AYZ12" s="313"/>
      <c r="AZA12" s="313"/>
      <c r="AZB12" s="313"/>
      <c r="AZC12" s="313"/>
      <c r="AZD12" s="313"/>
      <c r="AZE12" s="313"/>
      <c r="AZF12" s="313"/>
      <c r="AZG12" s="95"/>
      <c r="AZH12" s="313"/>
      <c r="AZI12" s="313"/>
      <c r="AZJ12" s="313"/>
      <c r="AZK12" s="313"/>
      <c r="AZL12" s="313"/>
      <c r="AZM12" s="313"/>
      <c r="AZN12" s="313"/>
      <c r="AZO12" s="95"/>
      <c r="AZP12" s="313"/>
      <c r="AZQ12" s="313"/>
      <c r="AZR12" s="313"/>
      <c r="AZS12" s="313"/>
      <c r="AZT12" s="313"/>
      <c r="AZU12" s="313"/>
      <c r="AZV12" s="313"/>
      <c r="AZW12" s="95"/>
      <c r="AZX12" s="313"/>
      <c r="AZY12" s="313"/>
      <c r="AZZ12" s="313"/>
      <c r="BAA12" s="313"/>
      <c r="BAB12" s="313"/>
      <c r="BAC12" s="313"/>
      <c r="BAD12" s="313"/>
      <c r="BAE12" s="95"/>
      <c r="BAF12" s="313"/>
      <c r="BAG12" s="313"/>
      <c r="BAH12" s="313"/>
      <c r="BAI12" s="313"/>
      <c r="BAJ12" s="313"/>
      <c r="BAK12" s="313"/>
      <c r="BAL12" s="313"/>
      <c r="BAM12" s="95"/>
      <c r="BAN12" s="313"/>
      <c r="BAO12" s="313"/>
      <c r="BAP12" s="313"/>
      <c r="BAQ12" s="313"/>
      <c r="BAR12" s="313"/>
      <c r="BAS12" s="313"/>
      <c r="BAT12" s="313"/>
      <c r="BAU12" s="95"/>
      <c r="BAV12" s="313"/>
      <c r="BAW12" s="313"/>
      <c r="BAX12" s="313"/>
      <c r="BAY12" s="313"/>
      <c r="BAZ12" s="313"/>
      <c r="BBA12" s="313"/>
      <c r="BBB12" s="313"/>
      <c r="BBC12" s="95"/>
      <c r="BBD12" s="313"/>
      <c r="BBE12" s="313"/>
      <c r="BBF12" s="313"/>
      <c r="BBG12" s="313"/>
      <c r="BBH12" s="313"/>
      <c r="BBI12" s="313"/>
      <c r="BBJ12" s="313"/>
      <c r="BBK12" s="95"/>
      <c r="BBL12" s="313"/>
      <c r="BBM12" s="313"/>
      <c r="BBN12" s="313"/>
      <c r="BBO12" s="313"/>
      <c r="BBP12" s="313"/>
      <c r="BBQ12" s="313"/>
      <c r="BBR12" s="313"/>
      <c r="BBS12" s="95"/>
      <c r="BBT12" s="313"/>
      <c r="BBU12" s="313"/>
      <c r="BBV12" s="313"/>
      <c r="BBW12" s="313"/>
      <c r="BBX12" s="313"/>
      <c r="BBY12" s="313"/>
      <c r="BBZ12" s="313"/>
      <c r="BCA12" s="95"/>
      <c r="BCB12" s="313"/>
      <c r="BCC12" s="313"/>
      <c r="BCD12" s="313"/>
      <c r="BCE12" s="313"/>
      <c r="BCF12" s="313"/>
      <c r="BCG12" s="313"/>
      <c r="BCH12" s="313"/>
      <c r="BCI12" s="95"/>
      <c r="BCJ12" s="313"/>
      <c r="BCK12" s="313"/>
      <c r="BCL12" s="313"/>
      <c r="BCM12" s="313"/>
      <c r="BCN12" s="313"/>
      <c r="BCO12" s="313"/>
      <c r="BCP12" s="313"/>
      <c r="BCQ12" s="95"/>
      <c r="BCR12" s="313"/>
      <c r="BCS12" s="313"/>
      <c r="BCT12" s="313"/>
      <c r="BCU12" s="313"/>
      <c r="BCV12" s="313"/>
      <c r="BCW12" s="313"/>
      <c r="BCX12" s="313"/>
      <c r="BCY12" s="95"/>
      <c r="BCZ12" s="313"/>
      <c r="BDA12" s="313"/>
      <c r="BDB12" s="313"/>
      <c r="BDC12" s="313"/>
      <c r="BDD12" s="313"/>
      <c r="BDE12" s="313"/>
      <c r="BDF12" s="313"/>
      <c r="BDG12" s="95"/>
      <c r="BDH12" s="313"/>
      <c r="BDI12" s="313"/>
      <c r="BDJ12" s="313"/>
      <c r="BDK12" s="313"/>
      <c r="BDL12" s="313"/>
      <c r="BDM12" s="313"/>
      <c r="BDN12" s="313"/>
      <c r="BDO12" s="95"/>
      <c r="BDP12" s="313"/>
      <c r="BDQ12" s="313"/>
      <c r="BDR12" s="313"/>
      <c r="BDS12" s="313"/>
      <c r="BDT12" s="313"/>
      <c r="BDU12" s="313"/>
      <c r="BDV12" s="313"/>
      <c r="BDW12" s="95"/>
      <c r="BDX12" s="313"/>
      <c r="BDY12" s="313"/>
      <c r="BDZ12" s="313"/>
      <c r="BEA12" s="313"/>
      <c r="BEB12" s="313"/>
      <c r="BEC12" s="313"/>
      <c r="BED12" s="313"/>
      <c r="BEE12" s="95"/>
      <c r="BEF12" s="313"/>
      <c r="BEG12" s="313"/>
      <c r="BEH12" s="313"/>
      <c r="BEI12" s="313"/>
      <c r="BEJ12" s="313"/>
      <c r="BEK12" s="313"/>
      <c r="BEL12" s="313"/>
      <c r="BEM12" s="95"/>
      <c r="BEN12" s="313"/>
      <c r="BEO12" s="313"/>
      <c r="BEP12" s="313"/>
      <c r="BEQ12" s="313"/>
      <c r="BER12" s="313"/>
      <c r="BES12" s="313"/>
      <c r="BET12" s="313"/>
      <c r="BEU12" s="95"/>
      <c r="BEV12" s="313"/>
      <c r="BEW12" s="313"/>
      <c r="BEX12" s="313"/>
      <c r="BEY12" s="313"/>
      <c r="BEZ12" s="313"/>
      <c r="BFA12" s="313"/>
      <c r="BFB12" s="313"/>
      <c r="BFC12" s="95"/>
      <c r="BFD12" s="313"/>
      <c r="BFE12" s="313"/>
      <c r="BFF12" s="313"/>
      <c r="BFG12" s="313"/>
      <c r="BFH12" s="313"/>
      <c r="BFI12" s="313"/>
      <c r="BFJ12" s="313"/>
      <c r="BFK12" s="95"/>
      <c r="BFL12" s="313"/>
      <c r="BFM12" s="313"/>
      <c r="BFN12" s="313"/>
      <c r="BFO12" s="313"/>
      <c r="BFP12" s="313"/>
      <c r="BFQ12" s="313"/>
      <c r="BFR12" s="313"/>
      <c r="BFS12" s="95"/>
      <c r="BFT12" s="313"/>
      <c r="BFU12" s="313"/>
      <c r="BFV12" s="313"/>
      <c r="BFW12" s="313"/>
      <c r="BFX12" s="313"/>
      <c r="BFY12" s="313"/>
      <c r="BFZ12" s="313"/>
      <c r="BGA12" s="95"/>
      <c r="BGB12" s="313"/>
      <c r="BGC12" s="313"/>
      <c r="BGD12" s="313"/>
      <c r="BGE12" s="313"/>
      <c r="BGF12" s="313"/>
      <c r="BGG12" s="313"/>
      <c r="BGH12" s="313"/>
      <c r="BGI12" s="95"/>
      <c r="BGJ12" s="313"/>
      <c r="BGK12" s="313"/>
      <c r="BGL12" s="313"/>
      <c r="BGM12" s="313"/>
      <c r="BGN12" s="313"/>
      <c r="BGO12" s="313"/>
      <c r="BGP12" s="313"/>
      <c r="BGQ12" s="95"/>
      <c r="BGR12" s="313"/>
      <c r="BGS12" s="313"/>
      <c r="BGT12" s="313"/>
      <c r="BGU12" s="313"/>
      <c r="BGV12" s="313"/>
      <c r="BGW12" s="313"/>
      <c r="BGX12" s="313"/>
      <c r="BGY12" s="95"/>
      <c r="BGZ12" s="313"/>
      <c r="BHA12" s="313"/>
      <c r="BHB12" s="313"/>
      <c r="BHC12" s="313"/>
      <c r="BHD12" s="313"/>
      <c r="BHE12" s="313"/>
      <c r="BHF12" s="313"/>
      <c r="BHG12" s="95"/>
      <c r="BHH12" s="313"/>
      <c r="BHI12" s="313"/>
      <c r="BHJ12" s="313"/>
      <c r="BHK12" s="313"/>
      <c r="BHL12" s="313"/>
      <c r="BHM12" s="313"/>
      <c r="BHN12" s="313"/>
      <c r="BHO12" s="95"/>
      <c r="BHP12" s="313"/>
      <c r="BHQ12" s="313"/>
      <c r="BHR12" s="313"/>
      <c r="BHS12" s="313"/>
      <c r="BHT12" s="313"/>
      <c r="BHU12" s="313"/>
      <c r="BHV12" s="313"/>
      <c r="BHW12" s="95"/>
      <c r="BHX12" s="313"/>
      <c r="BHY12" s="313"/>
      <c r="BHZ12" s="313"/>
      <c r="BIA12" s="313"/>
      <c r="BIB12" s="313"/>
      <c r="BIC12" s="313"/>
      <c r="BID12" s="313"/>
      <c r="BIE12" s="95"/>
      <c r="BIF12" s="313"/>
      <c r="BIG12" s="313"/>
      <c r="BIH12" s="313"/>
      <c r="BII12" s="313"/>
      <c r="BIJ12" s="313"/>
      <c r="BIK12" s="313"/>
      <c r="BIL12" s="313"/>
      <c r="BIM12" s="95"/>
      <c r="BIN12" s="313"/>
      <c r="BIO12" s="313"/>
      <c r="BIP12" s="313"/>
      <c r="BIQ12" s="313"/>
      <c r="BIR12" s="313"/>
      <c r="BIS12" s="313"/>
      <c r="BIT12" s="313"/>
      <c r="BIU12" s="95"/>
      <c r="BIV12" s="313"/>
      <c r="BIW12" s="313"/>
      <c r="BIX12" s="313"/>
      <c r="BIY12" s="313"/>
      <c r="BIZ12" s="313"/>
      <c r="BJA12" s="313"/>
      <c r="BJB12" s="313"/>
      <c r="BJC12" s="95"/>
      <c r="BJD12" s="313"/>
      <c r="BJE12" s="313"/>
      <c r="BJF12" s="313"/>
      <c r="BJG12" s="313"/>
      <c r="BJH12" s="313"/>
      <c r="BJI12" s="313"/>
      <c r="BJJ12" s="313"/>
      <c r="BJK12" s="95"/>
      <c r="BJL12" s="313"/>
      <c r="BJM12" s="313"/>
      <c r="BJN12" s="313"/>
      <c r="BJO12" s="313"/>
      <c r="BJP12" s="313"/>
      <c r="BJQ12" s="313"/>
      <c r="BJR12" s="313"/>
      <c r="BJS12" s="95"/>
      <c r="BJT12" s="313"/>
      <c r="BJU12" s="313"/>
      <c r="BJV12" s="313"/>
      <c r="BJW12" s="313"/>
      <c r="BJX12" s="313"/>
      <c r="BJY12" s="313"/>
      <c r="BJZ12" s="313"/>
      <c r="BKA12" s="95"/>
      <c r="BKB12" s="313"/>
      <c r="BKC12" s="313"/>
      <c r="BKD12" s="313"/>
      <c r="BKE12" s="313"/>
      <c r="BKF12" s="313"/>
      <c r="BKG12" s="313"/>
      <c r="BKH12" s="313"/>
      <c r="BKI12" s="95"/>
      <c r="BKJ12" s="313"/>
      <c r="BKK12" s="313"/>
      <c r="BKL12" s="313"/>
      <c r="BKM12" s="313"/>
      <c r="BKN12" s="313"/>
      <c r="BKO12" s="313"/>
      <c r="BKP12" s="313"/>
      <c r="BKQ12" s="95"/>
      <c r="BKR12" s="313"/>
      <c r="BKS12" s="313"/>
      <c r="BKT12" s="313"/>
      <c r="BKU12" s="313"/>
      <c r="BKV12" s="313"/>
      <c r="BKW12" s="313"/>
      <c r="BKX12" s="313"/>
      <c r="BKY12" s="95"/>
      <c r="BKZ12" s="313"/>
      <c r="BLA12" s="313"/>
      <c r="BLB12" s="313"/>
      <c r="BLC12" s="313"/>
      <c r="BLD12" s="313"/>
      <c r="BLE12" s="313"/>
      <c r="BLF12" s="313"/>
      <c r="BLG12" s="95"/>
      <c r="BLH12" s="313"/>
      <c r="BLI12" s="313"/>
      <c r="BLJ12" s="313"/>
      <c r="BLK12" s="313"/>
      <c r="BLL12" s="313"/>
      <c r="BLM12" s="313"/>
      <c r="BLN12" s="313"/>
      <c r="BLO12" s="95"/>
      <c r="BLP12" s="313"/>
      <c r="BLQ12" s="313"/>
      <c r="BLR12" s="313"/>
      <c r="BLS12" s="313"/>
      <c r="BLT12" s="313"/>
      <c r="BLU12" s="313"/>
      <c r="BLV12" s="313"/>
      <c r="BLW12" s="95"/>
      <c r="BLX12" s="313"/>
      <c r="BLY12" s="313"/>
      <c r="BLZ12" s="313"/>
      <c r="BMA12" s="313"/>
      <c r="BMB12" s="313"/>
      <c r="BMC12" s="313"/>
      <c r="BMD12" s="313"/>
      <c r="BME12" s="95"/>
      <c r="BMF12" s="313"/>
      <c r="BMG12" s="313"/>
      <c r="BMH12" s="313"/>
      <c r="BMI12" s="313"/>
      <c r="BMJ12" s="313"/>
      <c r="BMK12" s="313"/>
      <c r="BML12" s="313"/>
      <c r="BMM12" s="95"/>
      <c r="BMN12" s="313"/>
      <c r="BMO12" s="313"/>
      <c r="BMP12" s="313"/>
      <c r="BMQ12" s="313"/>
      <c r="BMR12" s="313"/>
      <c r="BMS12" s="313"/>
      <c r="BMT12" s="313"/>
      <c r="BMU12" s="95"/>
      <c r="BMV12" s="313"/>
      <c r="BMW12" s="313"/>
      <c r="BMX12" s="313"/>
      <c r="BMY12" s="313"/>
      <c r="BMZ12" s="313"/>
      <c r="BNA12" s="313"/>
      <c r="BNB12" s="313"/>
      <c r="BNC12" s="95"/>
      <c r="BND12" s="313"/>
      <c r="BNE12" s="313"/>
      <c r="BNF12" s="313"/>
      <c r="BNG12" s="313"/>
      <c r="BNH12" s="313"/>
      <c r="BNI12" s="313"/>
      <c r="BNJ12" s="313"/>
      <c r="BNK12" s="95"/>
      <c r="BNL12" s="313"/>
      <c r="BNM12" s="313"/>
      <c r="BNN12" s="313"/>
      <c r="BNO12" s="313"/>
      <c r="BNP12" s="313"/>
      <c r="BNQ12" s="313"/>
      <c r="BNR12" s="313"/>
      <c r="BNS12" s="95"/>
      <c r="BNT12" s="313"/>
      <c r="BNU12" s="313"/>
      <c r="BNV12" s="313"/>
      <c r="BNW12" s="313"/>
      <c r="BNX12" s="313"/>
      <c r="BNY12" s="313"/>
      <c r="BNZ12" s="313"/>
      <c r="BOA12" s="95"/>
      <c r="BOB12" s="313"/>
      <c r="BOC12" s="313"/>
      <c r="BOD12" s="313"/>
      <c r="BOE12" s="313"/>
      <c r="BOF12" s="313"/>
      <c r="BOG12" s="313"/>
      <c r="BOH12" s="313"/>
      <c r="BOI12" s="95"/>
      <c r="BOJ12" s="313"/>
      <c r="BOK12" s="313"/>
      <c r="BOL12" s="313"/>
      <c r="BOM12" s="313"/>
      <c r="BON12" s="313"/>
      <c r="BOO12" s="313"/>
      <c r="BOP12" s="313"/>
      <c r="BOQ12" s="95"/>
      <c r="BOR12" s="313"/>
      <c r="BOS12" s="313"/>
      <c r="BOT12" s="313"/>
      <c r="BOU12" s="313"/>
      <c r="BOV12" s="313"/>
      <c r="BOW12" s="313"/>
      <c r="BOX12" s="313"/>
      <c r="BOY12" s="95"/>
      <c r="BOZ12" s="313"/>
      <c r="BPA12" s="313"/>
      <c r="BPB12" s="313"/>
      <c r="BPC12" s="313"/>
      <c r="BPD12" s="313"/>
      <c r="BPE12" s="313"/>
      <c r="BPF12" s="313"/>
      <c r="BPG12" s="95"/>
      <c r="BPH12" s="313"/>
      <c r="BPI12" s="313"/>
      <c r="BPJ12" s="313"/>
      <c r="BPK12" s="313"/>
      <c r="BPL12" s="313"/>
      <c r="BPM12" s="313"/>
      <c r="BPN12" s="313"/>
      <c r="BPO12" s="95"/>
      <c r="BPP12" s="313"/>
      <c r="BPQ12" s="313"/>
      <c r="BPR12" s="313"/>
      <c r="BPS12" s="313"/>
      <c r="BPT12" s="313"/>
      <c r="BPU12" s="313"/>
      <c r="BPV12" s="313"/>
      <c r="BPW12" s="95"/>
      <c r="BPX12" s="313"/>
      <c r="BPY12" s="313"/>
      <c r="BPZ12" s="313"/>
      <c r="BQA12" s="313"/>
      <c r="BQB12" s="313"/>
      <c r="BQC12" s="313"/>
      <c r="BQD12" s="313"/>
      <c r="BQE12" s="95"/>
      <c r="BQF12" s="313"/>
      <c r="BQG12" s="313"/>
      <c r="BQH12" s="313"/>
      <c r="BQI12" s="313"/>
      <c r="BQJ12" s="313"/>
      <c r="BQK12" s="313"/>
      <c r="BQL12" s="313"/>
      <c r="BQM12" s="95"/>
      <c r="BQN12" s="313"/>
      <c r="BQO12" s="313"/>
      <c r="BQP12" s="313"/>
      <c r="BQQ12" s="313"/>
      <c r="BQR12" s="313"/>
      <c r="BQS12" s="313"/>
      <c r="BQT12" s="313"/>
      <c r="BQU12" s="95"/>
      <c r="BQV12" s="313"/>
      <c r="BQW12" s="313"/>
      <c r="BQX12" s="313"/>
      <c r="BQY12" s="313"/>
      <c r="BQZ12" s="313"/>
      <c r="BRA12" s="313"/>
      <c r="BRB12" s="313"/>
      <c r="BRC12" s="95"/>
      <c r="BRD12" s="313"/>
      <c r="BRE12" s="313"/>
      <c r="BRF12" s="313"/>
      <c r="BRG12" s="313"/>
      <c r="BRH12" s="313"/>
      <c r="BRI12" s="313"/>
      <c r="BRJ12" s="313"/>
      <c r="BRK12" s="95"/>
      <c r="BRL12" s="313"/>
      <c r="BRM12" s="313"/>
      <c r="BRN12" s="313"/>
      <c r="BRO12" s="313"/>
      <c r="BRP12" s="313"/>
      <c r="BRQ12" s="313"/>
      <c r="BRR12" s="313"/>
      <c r="BRS12" s="95"/>
      <c r="BRT12" s="313"/>
      <c r="BRU12" s="313"/>
      <c r="BRV12" s="313"/>
      <c r="BRW12" s="313"/>
      <c r="BRX12" s="313"/>
      <c r="BRY12" s="313"/>
      <c r="BRZ12" s="313"/>
      <c r="BSA12" s="95"/>
      <c r="BSB12" s="313"/>
      <c r="BSC12" s="313"/>
      <c r="BSD12" s="313"/>
      <c r="BSE12" s="313"/>
      <c r="BSF12" s="313"/>
      <c r="BSG12" s="313"/>
      <c r="BSH12" s="313"/>
      <c r="BSI12" s="95"/>
      <c r="BSJ12" s="313"/>
      <c r="BSK12" s="313"/>
      <c r="BSL12" s="313"/>
      <c r="BSM12" s="313"/>
      <c r="BSN12" s="313"/>
      <c r="BSO12" s="313"/>
      <c r="BSP12" s="313"/>
      <c r="BSQ12" s="95"/>
      <c r="BSR12" s="313"/>
      <c r="BSS12" s="313"/>
      <c r="BST12" s="313"/>
      <c r="BSU12" s="313"/>
      <c r="BSV12" s="313"/>
      <c r="BSW12" s="313"/>
      <c r="BSX12" s="313"/>
      <c r="BSY12" s="95"/>
      <c r="BSZ12" s="313"/>
      <c r="BTA12" s="313"/>
      <c r="BTB12" s="313"/>
      <c r="BTC12" s="313"/>
      <c r="BTD12" s="313"/>
      <c r="BTE12" s="313"/>
      <c r="BTF12" s="313"/>
      <c r="BTG12" s="95"/>
      <c r="BTH12" s="313"/>
      <c r="BTI12" s="313"/>
      <c r="BTJ12" s="313"/>
      <c r="BTK12" s="313"/>
      <c r="BTL12" s="313"/>
      <c r="BTM12" s="313"/>
      <c r="BTN12" s="313"/>
      <c r="BTO12" s="95"/>
      <c r="BTP12" s="313"/>
      <c r="BTQ12" s="313"/>
      <c r="BTR12" s="313"/>
      <c r="BTS12" s="313"/>
      <c r="BTT12" s="313"/>
      <c r="BTU12" s="313"/>
      <c r="BTV12" s="313"/>
      <c r="BTW12" s="95"/>
      <c r="BTX12" s="313"/>
      <c r="BTY12" s="313"/>
      <c r="BTZ12" s="313"/>
      <c r="BUA12" s="313"/>
      <c r="BUB12" s="313"/>
      <c r="BUC12" s="313"/>
      <c r="BUD12" s="313"/>
      <c r="BUE12" s="95"/>
      <c r="BUF12" s="313"/>
      <c r="BUG12" s="313"/>
      <c r="BUH12" s="313"/>
      <c r="BUI12" s="313"/>
      <c r="BUJ12" s="313"/>
      <c r="BUK12" s="313"/>
      <c r="BUL12" s="313"/>
      <c r="BUM12" s="95"/>
      <c r="BUN12" s="313"/>
      <c r="BUO12" s="313"/>
      <c r="BUP12" s="313"/>
      <c r="BUQ12" s="313"/>
      <c r="BUR12" s="313"/>
      <c r="BUS12" s="313"/>
      <c r="BUT12" s="313"/>
      <c r="BUU12" s="95"/>
      <c r="BUV12" s="313"/>
      <c r="BUW12" s="313"/>
      <c r="BUX12" s="313"/>
      <c r="BUY12" s="313"/>
      <c r="BUZ12" s="313"/>
      <c r="BVA12" s="313"/>
      <c r="BVB12" s="313"/>
      <c r="BVC12" s="95"/>
      <c r="BVD12" s="313"/>
      <c r="BVE12" s="313"/>
      <c r="BVF12" s="313"/>
      <c r="BVG12" s="313"/>
      <c r="BVH12" s="313"/>
      <c r="BVI12" s="313"/>
      <c r="BVJ12" s="313"/>
      <c r="BVK12" s="95"/>
      <c r="BVL12" s="313"/>
      <c r="BVM12" s="313"/>
      <c r="BVN12" s="313"/>
      <c r="BVO12" s="313"/>
      <c r="BVP12" s="313"/>
      <c r="BVQ12" s="313"/>
      <c r="BVR12" s="313"/>
      <c r="BVS12" s="95"/>
      <c r="BVT12" s="313"/>
      <c r="BVU12" s="313"/>
      <c r="BVV12" s="313"/>
      <c r="BVW12" s="313"/>
      <c r="BVX12" s="313"/>
      <c r="BVY12" s="313"/>
      <c r="BVZ12" s="313"/>
      <c r="BWA12" s="95"/>
      <c r="BWB12" s="313"/>
      <c r="BWC12" s="313"/>
      <c r="BWD12" s="313"/>
      <c r="BWE12" s="313"/>
      <c r="BWF12" s="313"/>
      <c r="BWG12" s="313"/>
      <c r="BWH12" s="313"/>
      <c r="BWI12" s="95"/>
      <c r="BWJ12" s="313"/>
      <c r="BWK12" s="313"/>
      <c r="BWL12" s="313"/>
      <c r="BWM12" s="313"/>
      <c r="BWN12" s="313"/>
      <c r="BWO12" s="313"/>
      <c r="BWP12" s="313"/>
      <c r="BWQ12" s="95"/>
      <c r="BWR12" s="313"/>
      <c r="BWS12" s="313"/>
      <c r="BWT12" s="313"/>
      <c r="BWU12" s="313"/>
      <c r="BWV12" s="313"/>
      <c r="BWW12" s="313"/>
      <c r="BWX12" s="313"/>
      <c r="BWY12" s="95"/>
      <c r="BWZ12" s="313"/>
      <c r="BXA12" s="313"/>
      <c r="BXB12" s="313"/>
      <c r="BXC12" s="313"/>
      <c r="BXD12" s="313"/>
      <c r="BXE12" s="313"/>
      <c r="BXF12" s="313"/>
      <c r="BXG12" s="95"/>
      <c r="BXH12" s="313"/>
      <c r="BXI12" s="313"/>
      <c r="BXJ12" s="313"/>
      <c r="BXK12" s="313"/>
      <c r="BXL12" s="313"/>
      <c r="BXM12" s="313"/>
      <c r="BXN12" s="313"/>
      <c r="BXO12" s="95"/>
      <c r="BXP12" s="313"/>
      <c r="BXQ12" s="313"/>
      <c r="BXR12" s="313"/>
      <c r="BXS12" s="313"/>
      <c r="BXT12" s="313"/>
      <c r="BXU12" s="313"/>
      <c r="BXV12" s="313"/>
      <c r="BXW12" s="95"/>
      <c r="BXX12" s="313"/>
      <c r="BXY12" s="313"/>
      <c r="BXZ12" s="313"/>
      <c r="BYA12" s="313"/>
      <c r="BYB12" s="313"/>
      <c r="BYC12" s="313"/>
      <c r="BYD12" s="313"/>
      <c r="BYE12" s="95"/>
      <c r="BYF12" s="313"/>
      <c r="BYG12" s="313"/>
      <c r="BYH12" s="313"/>
      <c r="BYI12" s="313"/>
      <c r="BYJ12" s="313"/>
      <c r="BYK12" s="313"/>
      <c r="BYL12" s="313"/>
      <c r="BYM12" s="95"/>
      <c r="BYN12" s="313"/>
      <c r="BYO12" s="313"/>
      <c r="BYP12" s="313"/>
      <c r="BYQ12" s="313"/>
      <c r="BYR12" s="313"/>
      <c r="BYS12" s="313"/>
      <c r="BYT12" s="313"/>
      <c r="BYU12" s="95"/>
      <c r="BYV12" s="313"/>
      <c r="BYW12" s="313"/>
      <c r="BYX12" s="313"/>
      <c r="BYY12" s="313"/>
      <c r="BYZ12" s="313"/>
      <c r="BZA12" s="313"/>
      <c r="BZB12" s="313"/>
      <c r="BZC12" s="95"/>
      <c r="BZD12" s="313"/>
      <c r="BZE12" s="313"/>
      <c r="BZF12" s="313"/>
      <c r="BZG12" s="313"/>
      <c r="BZH12" s="313"/>
      <c r="BZI12" s="313"/>
      <c r="BZJ12" s="313"/>
      <c r="BZK12" s="95"/>
      <c r="BZL12" s="313"/>
      <c r="BZM12" s="313"/>
      <c r="BZN12" s="313"/>
      <c r="BZO12" s="313"/>
      <c r="BZP12" s="313"/>
      <c r="BZQ12" s="313"/>
      <c r="BZR12" s="313"/>
      <c r="BZS12" s="95"/>
      <c r="BZT12" s="313"/>
      <c r="BZU12" s="313"/>
      <c r="BZV12" s="313"/>
      <c r="BZW12" s="313"/>
      <c r="BZX12" s="313"/>
      <c r="BZY12" s="313"/>
      <c r="BZZ12" s="313"/>
      <c r="CAA12" s="95"/>
      <c r="CAB12" s="313"/>
      <c r="CAC12" s="313"/>
      <c r="CAD12" s="313"/>
      <c r="CAE12" s="313"/>
      <c r="CAF12" s="313"/>
      <c r="CAG12" s="313"/>
      <c r="CAH12" s="313"/>
      <c r="CAI12" s="95"/>
      <c r="CAJ12" s="313"/>
      <c r="CAK12" s="313"/>
      <c r="CAL12" s="313"/>
      <c r="CAM12" s="313"/>
      <c r="CAN12" s="313"/>
      <c r="CAO12" s="313"/>
      <c r="CAP12" s="313"/>
      <c r="CAQ12" s="95"/>
      <c r="CAR12" s="313"/>
      <c r="CAS12" s="313"/>
      <c r="CAT12" s="313"/>
      <c r="CAU12" s="313"/>
      <c r="CAV12" s="313"/>
      <c r="CAW12" s="313"/>
      <c r="CAX12" s="313"/>
      <c r="CAY12" s="95"/>
      <c r="CAZ12" s="313"/>
      <c r="CBA12" s="313"/>
      <c r="CBB12" s="313"/>
      <c r="CBC12" s="313"/>
      <c r="CBD12" s="313"/>
      <c r="CBE12" s="313"/>
      <c r="CBF12" s="313"/>
      <c r="CBG12" s="95"/>
      <c r="CBH12" s="313"/>
      <c r="CBI12" s="313"/>
      <c r="CBJ12" s="313"/>
      <c r="CBK12" s="313"/>
      <c r="CBL12" s="313"/>
      <c r="CBM12" s="313"/>
      <c r="CBN12" s="313"/>
      <c r="CBO12" s="95"/>
      <c r="CBP12" s="313"/>
      <c r="CBQ12" s="313"/>
      <c r="CBR12" s="313"/>
      <c r="CBS12" s="313"/>
      <c r="CBT12" s="313"/>
      <c r="CBU12" s="313"/>
      <c r="CBV12" s="313"/>
      <c r="CBW12" s="95"/>
      <c r="CBX12" s="313"/>
      <c r="CBY12" s="313"/>
      <c r="CBZ12" s="313"/>
      <c r="CCA12" s="313"/>
      <c r="CCB12" s="313"/>
      <c r="CCC12" s="313"/>
      <c r="CCD12" s="313"/>
      <c r="CCE12" s="95"/>
      <c r="CCF12" s="313"/>
      <c r="CCG12" s="313"/>
      <c r="CCH12" s="313"/>
      <c r="CCI12" s="313"/>
      <c r="CCJ12" s="313"/>
      <c r="CCK12" s="313"/>
      <c r="CCL12" s="313"/>
      <c r="CCM12" s="95"/>
      <c r="CCN12" s="313"/>
      <c r="CCO12" s="313"/>
      <c r="CCP12" s="313"/>
      <c r="CCQ12" s="313"/>
      <c r="CCR12" s="313"/>
      <c r="CCS12" s="313"/>
      <c r="CCT12" s="313"/>
      <c r="CCU12" s="95"/>
      <c r="CCV12" s="313"/>
      <c r="CCW12" s="313"/>
      <c r="CCX12" s="313"/>
      <c r="CCY12" s="313"/>
      <c r="CCZ12" s="313"/>
      <c r="CDA12" s="313"/>
      <c r="CDB12" s="313"/>
      <c r="CDC12" s="95"/>
      <c r="CDD12" s="313"/>
      <c r="CDE12" s="313"/>
      <c r="CDF12" s="313"/>
      <c r="CDG12" s="313"/>
      <c r="CDH12" s="313"/>
      <c r="CDI12" s="313"/>
      <c r="CDJ12" s="313"/>
      <c r="CDK12" s="95"/>
      <c r="CDL12" s="313"/>
      <c r="CDM12" s="313"/>
      <c r="CDN12" s="313"/>
      <c r="CDO12" s="313"/>
      <c r="CDP12" s="313"/>
      <c r="CDQ12" s="313"/>
      <c r="CDR12" s="313"/>
      <c r="CDS12" s="95"/>
      <c r="CDT12" s="313"/>
      <c r="CDU12" s="313"/>
      <c r="CDV12" s="313"/>
      <c r="CDW12" s="313"/>
      <c r="CDX12" s="313"/>
      <c r="CDY12" s="313"/>
      <c r="CDZ12" s="313"/>
      <c r="CEA12" s="95"/>
      <c r="CEB12" s="313"/>
      <c r="CEC12" s="313"/>
      <c r="CED12" s="313"/>
      <c r="CEE12" s="313"/>
      <c r="CEF12" s="313"/>
      <c r="CEG12" s="313"/>
      <c r="CEH12" s="313"/>
      <c r="CEI12" s="95"/>
      <c r="CEJ12" s="313"/>
      <c r="CEK12" s="313"/>
      <c r="CEL12" s="313"/>
      <c r="CEM12" s="313"/>
      <c r="CEN12" s="313"/>
      <c r="CEO12" s="313"/>
      <c r="CEP12" s="313"/>
      <c r="CEQ12" s="95"/>
      <c r="CER12" s="313"/>
      <c r="CES12" s="313"/>
      <c r="CET12" s="313"/>
      <c r="CEU12" s="313"/>
      <c r="CEV12" s="313"/>
      <c r="CEW12" s="313"/>
      <c r="CEX12" s="313"/>
      <c r="CEY12" s="95"/>
      <c r="CEZ12" s="313"/>
      <c r="CFA12" s="313"/>
      <c r="CFB12" s="313"/>
      <c r="CFC12" s="313"/>
      <c r="CFD12" s="313"/>
      <c r="CFE12" s="313"/>
      <c r="CFF12" s="313"/>
      <c r="CFG12" s="95"/>
      <c r="CFH12" s="313"/>
      <c r="CFI12" s="313"/>
      <c r="CFJ12" s="313"/>
      <c r="CFK12" s="313"/>
      <c r="CFL12" s="313"/>
      <c r="CFM12" s="313"/>
      <c r="CFN12" s="313"/>
      <c r="CFO12" s="95"/>
      <c r="CFP12" s="313"/>
      <c r="CFQ12" s="313"/>
      <c r="CFR12" s="313"/>
      <c r="CFS12" s="313"/>
      <c r="CFT12" s="313"/>
      <c r="CFU12" s="313"/>
      <c r="CFV12" s="313"/>
      <c r="CFW12" s="95"/>
      <c r="CFX12" s="313"/>
      <c r="CFY12" s="313"/>
      <c r="CFZ12" s="313"/>
      <c r="CGA12" s="313"/>
      <c r="CGB12" s="313"/>
      <c r="CGC12" s="313"/>
      <c r="CGD12" s="313"/>
      <c r="CGE12" s="95"/>
      <c r="CGF12" s="313"/>
      <c r="CGG12" s="313"/>
      <c r="CGH12" s="313"/>
      <c r="CGI12" s="313"/>
      <c r="CGJ12" s="313"/>
      <c r="CGK12" s="313"/>
      <c r="CGL12" s="313"/>
      <c r="CGM12" s="95"/>
      <c r="CGN12" s="313"/>
      <c r="CGO12" s="313"/>
      <c r="CGP12" s="313"/>
      <c r="CGQ12" s="313"/>
      <c r="CGR12" s="313"/>
      <c r="CGS12" s="313"/>
      <c r="CGT12" s="313"/>
      <c r="CGU12" s="95"/>
      <c r="CGV12" s="313"/>
      <c r="CGW12" s="313"/>
      <c r="CGX12" s="313"/>
      <c r="CGY12" s="313"/>
      <c r="CGZ12" s="313"/>
      <c r="CHA12" s="313"/>
      <c r="CHB12" s="313"/>
      <c r="CHC12" s="95"/>
      <c r="CHD12" s="313"/>
      <c r="CHE12" s="313"/>
      <c r="CHF12" s="313"/>
      <c r="CHG12" s="313"/>
      <c r="CHH12" s="313"/>
      <c r="CHI12" s="313"/>
      <c r="CHJ12" s="313"/>
      <c r="CHK12" s="95"/>
      <c r="CHL12" s="313"/>
      <c r="CHM12" s="313"/>
      <c r="CHN12" s="313"/>
      <c r="CHO12" s="313"/>
      <c r="CHP12" s="313"/>
      <c r="CHQ12" s="313"/>
      <c r="CHR12" s="313"/>
      <c r="CHS12" s="95"/>
      <c r="CHT12" s="313"/>
      <c r="CHU12" s="313"/>
      <c r="CHV12" s="313"/>
      <c r="CHW12" s="313"/>
      <c r="CHX12" s="313"/>
      <c r="CHY12" s="313"/>
      <c r="CHZ12" s="313"/>
      <c r="CIA12" s="95"/>
      <c r="CIB12" s="313"/>
      <c r="CIC12" s="313"/>
      <c r="CID12" s="313"/>
      <c r="CIE12" s="313"/>
      <c r="CIF12" s="313"/>
      <c r="CIG12" s="313"/>
      <c r="CIH12" s="313"/>
      <c r="CII12" s="95"/>
      <c r="CIJ12" s="313"/>
      <c r="CIK12" s="313"/>
      <c r="CIL12" s="313"/>
      <c r="CIM12" s="313"/>
      <c r="CIN12" s="313"/>
      <c r="CIO12" s="313"/>
      <c r="CIP12" s="313"/>
      <c r="CIQ12" s="95"/>
      <c r="CIR12" s="313"/>
      <c r="CIS12" s="313"/>
      <c r="CIT12" s="313"/>
      <c r="CIU12" s="313"/>
      <c r="CIV12" s="313"/>
      <c r="CIW12" s="313"/>
      <c r="CIX12" s="313"/>
      <c r="CIY12" s="95"/>
      <c r="CIZ12" s="313"/>
      <c r="CJA12" s="313"/>
      <c r="CJB12" s="313"/>
      <c r="CJC12" s="313"/>
      <c r="CJD12" s="313"/>
      <c r="CJE12" s="313"/>
      <c r="CJF12" s="313"/>
      <c r="CJG12" s="95"/>
      <c r="CJH12" s="313"/>
      <c r="CJI12" s="313"/>
      <c r="CJJ12" s="313"/>
      <c r="CJK12" s="313"/>
      <c r="CJL12" s="313"/>
      <c r="CJM12" s="313"/>
      <c r="CJN12" s="313"/>
      <c r="CJO12" s="95"/>
      <c r="CJP12" s="313"/>
      <c r="CJQ12" s="313"/>
      <c r="CJR12" s="313"/>
      <c r="CJS12" s="313"/>
      <c r="CJT12" s="313"/>
      <c r="CJU12" s="313"/>
      <c r="CJV12" s="313"/>
      <c r="CJW12" s="95"/>
      <c r="CJX12" s="313"/>
      <c r="CJY12" s="313"/>
      <c r="CJZ12" s="313"/>
      <c r="CKA12" s="313"/>
      <c r="CKB12" s="313"/>
      <c r="CKC12" s="313"/>
      <c r="CKD12" s="313"/>
      <c r="CKE12" s="95"/>
      <c r="CKF12" s="313"/>
      <c r="CKG12" s="313"/>
      <c r="CKH12" s="313"/>
      <c r="CKI12" s="313"/>
      <c r="CKJ12" s="313"/>
      <c r="CKK12" s="313"/>
      <c r="CKL12" s="313"/>
      <c r="CKM12" s="95"/>
      <c r="CKN12" s="313"/>
      <c r="CKO12" s="313"/>
      <c r="CKP12" s="313"/>
      <c r="CKQ12" s="313"/>
      <c r="CKR12" s="313"/>
      <c r="CKS12" s="313"/>
      <c r="CKT12" s="313"/>
      <c r="CKU12" s="95"/>
      <c r="CKV12" s="313"/>
      <c r="CKW12" s="313"/>
      <c r="CKX12" s="313"/>
      <c r="CKY12" s="313"/>
      <c r="CKZ12" s="313"/>
      <c r="CLA12" s="313"/>
      <c r="CLB12" s="313"/>
      <c r="CLC12" s="95"/>
      <c r="CLD12" s="313"/>
      <c r="CLE12" s="313"/>
      <c r="CLF12" s="313"/>
      <c r="CLG12" s="313"/>
      <c r="CLH12" s="313"/>
      <c r="CLI12" s="313"/>
      <c r="CLJ12" s="313"/>
      <c r="CLK12" s="95"/>
      <c r="CLL12" s="313"/>
      <c r="CLM12" s="313"/>
      <c r="CLN12" s="313"/>
      <c r="CLO12" s="313"/>
      <c r="CLP12" s="313"/>
      <c r="CLQ12" s="313"/>
      <c r="CLR12" s="313"/>
      <c r="CLS12" s="95"/>
      <c r="CLT12" s="313"/>
      <c r="CLU12" s="313"/>
      <c r="CLV12" s="313"/>
      <c r="CLW12" s="313"/>
      <c r="CLX12" s="313"/>
      <c r="CLY12" s="313"/>
      <c r="CLZ12" s="313"/>
      <c r="CMA12" s="95"/>
      <c r="CMB12" s="313"/>
      <c r="CMC12" s="313"/>
      <c r="CMD12" s="313"/>
      <c r="CME12" s="313"/>
      <c r="CMF12" s="313"/>
      <c r="CMG12" s="313"/>
      <c r="CMH12" s="313"/>
      <c r="CMI12" s="95"/>
      <c r="CMJ12" s="313"/>
      <c r="CMK12" s="313"/>
      <c r="CML12" s="313"/>
      <c r="CMM12" s="313"/>
      <c r="CMN12" s="313"/>
      <c r="CMO12" s="313"/>
      <c r="CMP12" s="313"/>
      <c r="CMQ12" s="95"/>
      <c r="CMR12" s="313"/>
      <c r="CMS12" s="313"/>
      <c r="CMT12" s="313"/>
      <c r="CMU12" s="313"/>
      <c r="CMV12" s="313"/>
      <c r="CMW12" s="313"/>
      <c r="CMX12" s="313"/>
      <c r="CMY12" s="95"/>
      <c r="CMZ12" s="313"/>
      <c r="CNA12" s="313"/>
      <c r="CNB12" s="313"/>
      <c r="CNC12" s="313"/>
      <c r="CND12" s="313"/>
      <c r="CNE12" s="313"/>
      <c r="CNF12" s="313"/>
      <c r="CNG12" s="95"/>
      <c r="CNH12" s="313"/>
      <c r="CNI12" s="313"/>
      <c r="CNJ12" s="313"/>
      <c r="CNK12" s="313"/>
      <c r="CNL12" s="313"/>
      <c r="CNM12" s="313"/>
      <c r="CNN12" s="313"/>
      <c r="CNO12" s="95"/>
      <c r="CNP12" s="313"/>
      <c r="CNQ12" s="313"/>
      <c r="CNR12" s="313"/>
      <c r="CNS12" s="313"/>
      <c r="CNT12" s="313"/>
      <c r="CNU12" s="313"/>
      <c r="CNV12" s="313"/>
      <c r="CNW12" s="95"/>
      <c r="CNX12" s="313"/>
      <c r="CNY12" s="313"/>
      <c r="CNZ12" s="313"/>
      <c r="COA12" s="313"/>
      <c r="COB12" s="313"/>
      <c r="COC12" s="313"/>
      <c r="COD12" s="313"/>
      <c r="COE12" s="95"/>
      <c r="COF12" s="313"/>
      <c r="COG12" s="313"/>
      <c r="COH12" s="313"/>
      <c r="COI12" s="313"/>
      <c r="COJ12" s="313"/>
      <c r="COK12" s="313"/>
      <c r="COL12" s="313"/>
      <c r="COM12" s="95"/>
      <c r="CON12" s="313"/>
      <c r="COO12" s="313"/>
      <c r="COP12" s="313"/>
      <c r="COQ12" s="313"/>
      <c r="COR12" s="313"/>
      <c r="COS12" s="313"/>
      <c r="COT12" s="313"/>
      <c r="COU12" s="95"/>
      <c r="COV12" s="313"/>
      <c r="COW12" s="313"/>
      <c r="COX12" s="313"/>
      <c r="COY12" s="313"/>
      <c r="COZ12" s="313"/>
      <c r="CPA12" s="313"/>
      <c r="CPB12" s="313"/>
      <c r="CPC12" s="95"/>
      <c r="CPD12" s="313"/>
      <c r="CPE12" s="313"/>
      <c r="CPF12" s="313"/>
      <c r="CPG12" s="313"/>
      <c r="CPH12" s="313"/>
      <c r="CPI12" s="313"/>
      <c r="CPJ12" s="313"/>
      <c r="CPK12" s="95"/>
      <c r="CPL12" s="313"/>
      <c r="CPM12" s="313"/>
      <c r="CPN12" s="313"/>
      <c r="CPO12" s="313"/>
      <c r="CPP12" s="313"/>
      <c r="CPQ12" s="313"/>
      <c r="CPR12" s="313"/>
      <c r="CPS12" s="95"/>
      <c r="CPT12" s="313"/>
      <c r="CPU12" s="313"/>
      <c r="CPV12" s="313"/>
      <c r="CPW12" s="313"/>
      <c r="CPX12" s="313"/>
      <c r="CPY12" s="313"/>
      <c r="CPZ12" s="313"/>
      <c r="CQA12" s="95"/>
      <c r="CQB12" s="313"/>
      <c r="CQC12" s="313"/>
      <c r="CQD12" s="313"/>
      <c r="CQE12" s="313"/>
      <c r="CQF12" s="313"/>
      <c r="CQG12" s="313"/>
      <c r="CQH12" s="313"/>
      <c r="CQI12" s="95"/>
      <c r="CQJ12" s="313"/>
      <c r="CQK12" s="313"/>
      <c r="CQL12" s="313"/>
      <c r="CQM12" s="313"/>
      <c r="CQN12" s="313"/>
      <c r="CQO12" s="313"/>
      <c r="CQP12" s="313"/>
      <c r="CQQ12" s="95"/>
      <c r="CQR12" s="313"/>
      <c r="CQS12" s="313"/>
      <c r="CQT12" s="313"/>
      <c r="CQU12" s="313"/>
      <c r="CQV12" s="313"/>
      <c r="CQW12" s="313"/>
      <c r="CQX12" s="313"/>
      <c r="CQY12" s="95"/>
      <c r="CQZ12" s="313"/>
      <c r="CRA12" s="313"/>
      <c r="CRB12" s="313"/>
      <c r="CRC12" s="313"/>
      <c r="CRD12" s="313"/>
      <c r="CRE12" s="313"/>
      <c r="CRF12" s="313"/>
      <c r="CRG12" s="95"/>
      <c r="CRH12" s="313"/>
      <c r="CRI12" s="313"/>
      <c r="CRJ12" s="313"/>
      <c r="CRK12" s="313"/>
      <c r="CRL12" s="313"/>
      <c r="CRM12" s="313"/>
      <c r="CRN12" s="313"/>
      <c r="CRO12" s="95"/>
      <c r="CRP12" s="313"/>
      <c r="CRQ12" s="313"/>
      <c r="CRR12" s="313"/>
      <c r="CRS12" s="313"/>
      <c r="CRT12" s="313"/>
      <c r="CRU12" s="313"/>
      <c r="CRV12" s="313"/>
      <c r="CRW12" s="95"/>
      <c r="CRX12" s="313"/>
      <c r="CRY12" s="313"/>
      <c r="CRZ12" s="313"/>
      <c r="CSA12" s="313"/>
      <c r="CSB12" s="313"/>
      <c r="CSC12" s="313"/>
      <c r="CSD12" s="313"/>
      <c r="CSE12" s="95"/>
      <c r="CSF12" s="313"/>
      <c r="CSG12" s="313"/>
      <c r="CSH12" s="313"/>
      <c r="CSI12" s="313"/>
      <c r="CSJ12" s="313"/>
      <c r="CSK12" s="313"/>
      <c r="CSL12" s="313"/>
      <c r="CSM12" s="95"/>
      <c r="CSN12" s="313"/>
      <c r="CSO12" s="313"/>
      <c r="CSP12" s="313"/>
      <c r="CSQ12" s="313"/>
      <c r="CSR12" s="313"/>
      <c r="CSS12" s="313"/>
      <c r="CST12" s="313"/>
      <c r="CSU12" s="95"/>
      <c r="CSV12" s="313"/>
      <c r="CSW12" s="313"/>
      <c r="CSX12" s="313"/>
      <c r="CSY12" s="313"/>
      <c r="CSZ12" s="313"/>
      <c r="CTA12" s="313"/>
      <c r="CTB12" s="313"/>
      <c r="CTC12" s="95"/>
      <c r="CTD12" s="313"/>
      <c r="CTE12" s="313"/>
      <c r="CTF12" s="313"/>
      <c r="CTG12" s="313"/>
      <c r="CTH12" s="313"/>
      <c r="CTI12" s="313"/>
      <c r="CTJ12" s="313"/>
      <c r="CTK12" s="95"/>
      <c r="CTL12" s="313"/>
      <c r="CTM12" s="313"/>
      <c r="CTN12" s="313"/>
      <c r="CTO12" s="313"/>
      <c r="CTP12" s="313"/>
      <c r="CTQ12" s="313"/>
      <c r="CTR12" s="313"/>
      <c r="CTS12" s="95"/>
      <c r="CTT12" s="313"/>
      <c r="CTU12" s="313"/>
      <c r="CTV12" s="313"/>
      <c r="CTW12" s="313"/>
      <c r="CTX12" s="313"/>
      <c r="CTY12" s="313"/>
      <c r="CTZ12" s="313"/>
      <c r="CUA12" s="95"/>
      <c r="CUB12" s="313"/>
      <c r="CUC12" s="313"/>
      <c r="CUD12" s="313"/>
      <c r="CUE12" s="313"/>
      <c r="CUF12" s="313"/>
      <c r="CUG12" s="313"/>
      <c r="CUH12" s="313"/>
      <c r="CUI12" s="95"/>
      <c r="CUJ12" s="313"/>
      <c r="CUK12" s="313"/>
      <c r="CUL12" s="313"/>
      <c r="CUM12" s="313"/>
      <c r="CUN12" s="313"/>
      <c r="CUO12" s="313"/>
      <c r="CUP12" s="313"/>
      <c r="CUQ12" s="95"/>
      <c r="CUR12" s="313"/>
      <c r="CUS12" s="313"/>
      <c r="CUT12" s="313"/>
      <c r="CUU12" s="313"/>
      <c r="CUV12" s="313"/>
      <c r="CUW12" s="313"/>
      <c r="CUX12" s="313"/>
      <c r="CUY12" s="95"/>
      <c r="CUZ12" s="313"/>
      <c r="CVA12" s="313"/>
      <c r="CVB12" s="313"/>
      <c r="CVC12" s="313"/>
      <c r="CVD12" s="313"/>
      <c r="CVE12" s="313"/>
      <c r="CVF12" s="313"/>
      <c r="CVG12" s="95"/>
      <c r="CVH12" s="313"/>
      <c r="CVI12" s="313"/>
      <c r="CVJ12" s="313"/>
      <c r="CVK12" s="313"/>
      <c r="CVL12" s="313"/>
      <c r="CVM12" s="313"/>
      <c r="CVN12" s="313"/>
      <c r="CVO12" s="95"/>
      <c r="CVP12" s="313"/>
      <c r="CVQ12" s="313"/>
      <c r="CVR12" s="313"/>
      <c r="CVS12" s="313"/>
      <c r="CVT12" s="313"/>
      <c r="CVU12" s="313"/>
      <c r="CVV12" s="313"/>
      <c r="CVW12" s="95"/>
      <c r="CVX12" s="313"/>
      <c r="CVY12" s="313"/>
      <c r="CVZ12" s="313"/>
      <c r="CWA12" s="313"/>
      <c r="CWB12" s="313"/>
      <c r="CWC12" s="313"/>
      <c r="CWD12" s="313"/>
      <c r="CWE12" s="95"/>
      <c r="CWF12" s="313"/>
      <c r="CWG12" s="313"/>
      <c r="CWH12" s="313"/>
      <c r="CWI12" s="313"/>
      <c r="CWJ12" s="313"/>
      <c r="CWK12" s="313"/>
      <c r="CWL12" s="313"/>
      <c r="CWM12" s="95"/>
      <c r="CWN12" s="313"/>
      <c r="CWO12" s="313"/>
      <c r="CWP12" s="313"/>
      <c r="CWQ12" s="313"/>
      <c r="CWR12" s="313"/>
      <c r="CWS12" s="313"/>
      <c r="CWT12" s="313"/>
      <c r="CWU12" s="95"/>
      <c r="CWV12" s="313"/>
      <c r="CWW12" s="313"/>
      <c r="CWX12" s="313"/>
      <c r="CWY12" s="313"/>
      <c r="CWZ12" s="313"/>
      <c r="CXA12" s="313"/>
      <c r="CXB12" s="313"/>
      <c r="CXC12" s="95"/>
      <c r="CXD12" s="313"/>
      <c r="CXE12" s="313"/>
      <c r="CXF12" s="313"/>
      <c r="CXG12" s="313"/>
      <c r="CXH12" s="313"/>
      <c r="CXI12" s="313"/>
      <c r="CXJ12" s="313"/>
      <c r="CXK12" s="95"/>
      <c r="CXL12" s="313"/>
      <c r="CXM12" s="313"/>
      <c r="CXN12" s="313"/>
      <c r="CXO12" s="313"/>
      <c r="CXP12" s="313"/>
      <c r="CXQ12" s="313"/>
      <c r="CXR12" s="313"/>
      <c r="CXS12" s="95"/>
      <c r="CXT12" s="313"/>
      <c r="CXU12" s="313"/>
      <c r="CXV12" s="313"/>
      <c r="CXW12" s="313"/>
      <c r="CXX12" s="313"/>
      <c r="CXY12" s="313"/>
      <c r="CXZ12" s="313"/>
      <c r="CYA12" s="95"/>
      <c r="CYB12" s="313"/>
      <c r="CYC12" s="313"/>
      <c r="CYD12" s="313"/>
      <c r="CYE12" s="313"/>
      <c r="CYF12" s="313"/>
      <c r="CYG12" s="313"/>
      <c r="CYH12" s="313"/>
      <c r="CYI12" s="95"/>
      <c r="CYJ12" s="313"/>
      <c r="CYK12" s="313"/>
      <c r="CYL12" s="313"/>
      <c r="CYM12" s="313"/>
      <c r="CYN12" s="313"/>
      <c r="CYO12" s="313"/>
      <c r="CYP12" s="313"/>
      <c r="CYQ12" s="95"/>
      <c r="CYR12" s="313"/>
      <c r="CYS12" s="313"/>
      <c r="CYT12" s="313"/>
      <c r="CYU12" s="313"/>
      <c r="CYV12" s="313"/>
      <c r="CYW12" s="313"/>
      <c r="CYX12" s="313"/>
      <c r="CYY12" s="95"/>
      <c r="CYZ12" s="313"/>
      <c r="CZA12" s="313"/>
      <c r="CZB12" s="313"/>
      <c r="CZC12" s="313"/>
      <c r="CZD12" s="313"/>
      <c r="CZE12" s="313"/>
      <c r="CZF12" s="313"/>
      <c r="CZG12" s="95"/>
      <c r="CZH12" s="313"/>
      <c r="CZI12" s="313"/>
      <c r="CZJ12" s="313"/>
      <c r="CZK12" s="313"/>
      <c r="CZL12" s="313"/>
      <c r="CZM12" s="313"/>
      <c r="CZN12" s="313"/>
      <c r="CZO12" s="95"/>
      <c r="CZP12" s="313"/>
      <c r="CZQ12" s="313"/>
      <c r="CZR12" s="313"/>
      <c r="CZS12" s="313"/>
      <c r="CZT12" s="313"/>
      <c r="CZU12" s="313"/>
      <c r="CZV12" s="313"/>
      <c r="CZW12" s="95"/>
      <c r="CZX12" s="313"/>
      <c r="CZY12" s="313"/>
      <c r="CZZ12" s="313"/>
      <c r="DAA12" s="313"/>
      <c r="DAB12" s="313"/>
      <c r="DAC12" s="313"/>
      <c r="DAD12" s="313"/>
      <c r="DAE12" s="95"/>
      <c r="DAF12" s="313"/>
      <c r="DAG12" s="313"/>
      <c r="DAH12" s="313"/>
      <c r="DAI12" s="313"/>
      <c r="DAJ12" s="313"/>
      <c r="DAK12" s="313"/>
      <c r="DAL12" s="313"/>
      <c r="DAM12" s="95"/>
      <c r="DAN12" s="313"/>
      <c r="DAO12" s="313"/>
      <c r="DAP12" s="313"/>
      <c r="DAQ12" s="313"/>
      <c r="DAR12" s="313"/>
      <c r="DAS12" s="313"/>
      <c r="DAT12" s="313"/>
      <c r="DAU12" s="95"/>
      <c r="DAV12" s="313"/>
      <c r="DAW12" s="313"/>
      <c r="DAX12" s="313"/>
      <c r="DAY12" s="313"/>
      <c r="DAZ12" s="313"/>
      <c r="DBA12" s="313"/>
      <c r="DBB12" s="313"/>
      <c r="DBC12" s="95"/>
      <c r="DBD12" s="313"/>
      <c r="DBE12" s="313"/>
      <c r="DBF12" s="313"/>
      <c r="DBG12" s="313"/>
      <c r="DBH12" s="313"/>
      <c r="DBI12" s="313"/>
      <c r="DBJ12" s="313"/>
      <c r="DBK12" s="95"/>
      <c r="DBL12" s="313"/>
      <c r="DBM12" s="313"/>
      <c r="DBN12" s="313"/>
      <c r="DBO12" s="313"/>
      <c r="DBP12" s="313"/>
      <c r="DBQ12" s="313"/>
      <c r="DBR12" s="313"/>
      <c r="DBS12" s="95"/>
      <c r="DBT12" s="313"/>
      <c r="DBU12" s="313"/>
      <c r="DBV12" s="313"/>
      <c r="DBW12" s="313"/>
      <c r="DBX12" s="313"/>
      <c r="DBY12" s="313"/>
      <c r="DBZ12" s="313"/>
      <c r="DCA12" s="95"/>
      <c r="DCB12" s="313"/>
      <c r="DCC12" s="313"/>
      <c r="DCD12" s="313"/>
      <c r="DCE12" s="313"/>
      <c r="DCF12" s="313"/>
      <c r="DCG12" s="313"/>
      <c r="DCH12" s="313"/>
      <c r="DCI12" s="95"/>
      <c r="DCJ12" s="313"/>
      <c r="DCK12" s="313"/>
      <c r="DCL12" s="313"/>
      <c r="DCM12" s="313"/>
      <c r="DCN12" s="313"/>
      <c r="DCO12" s="313"/>
      <c r="DCP12" s="313"/>
      <c r="DCQ12" s="95"/>
      <c r="DCR12" s="313"/>
      <c r="DCS12" s="313"/>
      <c r="DCT12" s="313"/>
      <c r="DCU12" s="313"/>
      <c r="DCV12" s="313"/>
      <c r="DCW12" s="313"/>
      <c r="DCX12" s="313"/>
      <c r="DCY12" s="95"/>
      <c r="DCZ12" s="313"/>
      <c r="DDA12" s="313"/>
      <c r="DDB12" s="313"/>
      <c r="DDC12" s="313"/>
      <c r="DDD12" s="313"/>
      <c r="DDE12" s="313"/>
      <c r="DDF12" s="313"/>
      <c r="DDG12" s="95"/>
      <c r="DDH12" s="313"/>
      <c r="DDI12" s="313"/>
      <c r="DDJ12" s="313"/>
      <c r="DDK12" s="313"/>
      <c r="DDL12" s="313"/>
      <c r="DDM12" s="313"/>
      <c r="DDN12" s="313"/>
      <c r="DDO12" s="95"/>
      <c r="DDP12" s="313"/>
      <c r="DDQ12" s="313"/>
      <c r="DDR12" s="313"/>
      <c r="DDS12" s="313"/>
      <c r="DDT12" s="313"/>
      <c r="DDU12" s="313"/>
      <c r="DDV12" s="313"/>
      <c r="DDW12" s="95"/>
      <c r="DDX12" s="313"/>
      <c r="DDY12" s="313"/>
      <c r="DDZ12" s="313"/>
      <c r="DEA12" s="313"/>
      <c r="DEB12" s="313"/>
      <c r="DEC12" s="313"/>
      <c r="DED12" s="313"/>
      <c r="DEE12" s="95"/>
      <c r="DEF12" s="313"/>
      <c r="DEG12" s="313"/>
      <c r="DEH12" s="313"/>
      <c r="DEI12" s="313"/>
      <c r="DEJ12" s="313"/>
      <c r="DEK12" s="313"/>
      <c r="DEL12" s="313"/>
      <c r="DEM12" s="95"/>
      <c r="DEN12" s="313"/>
      <c r="DEO12" s="313"/>
      <c r="DEP12" s="313"/>
      <c r="DEQ12" s="313"/>
      <c r="DER12" s="313"/>
      <c r="DES12" s="313"/>
      <c r="DET12" s="313"/>
      <c r="DEU12" s="95"/>
      <c r="DEV12" s="313"/>
      <c r="DEW12" s="313"/>
      <c r="DEX12" s="313"/>
      <c r="DEY12" s="313"/>
      <c r="DEZ12" s="313"/>
      <c r="DFA12" s="313"/>
      <c r="DFB12" s="313"/>
      <c r="DFC12" s="95"/>
      <c r="DFD12" s="313"/>
      <c r="DFE12" s="313"/>
      <c r="DFF12" s="313"/>
      <c r="DFG12" s="313"/>
      <c r="DFH12" s="313"/>
      <c r="DFI12" s="313"/>
      <c r="DFJ12" s="313"/>
      <c r="DFK12" s="95"/>
      <c r="DFL12" s="313"/>
      <c r="DFM12" s="313"/>
      <c r="DFN12" s="313"/>
      <c r="DFO12" s="313"/>
      <c r="DFP12" s="313"/>
      <c r="DFQ12" s="313"/>
      <c r="DFR12" s="313"/>
      <c r="DFS12" s="95"/>
      <c r="DFT12" s="313"/>
      <c r="DFU12" s="313"/>
      <c r="DFV12" s="313"/>
      <c r="DFW12" s="313"/>
      <c r="DFX12" s="313"/>
      <c r="DFY12" s="313"/>
      <c r="DFZ12" s="313"/>
      <c r="DGA12" s="95"/>
      <c r="DGB12" s="313"/>
      <c r="DGC12" s="313"/>
      <c r="DGD12" s="313"/>
      <c r="DGE12" s="313"/>
      <c r="DGF12" s="313"/>
      <c r="DGG12" s="313"/>
      <c r="DGH12" s="313"/>
      <c r="DGI12" s="95"/>
      <c r="DGJ12" s="313"/>
      <c r="DGK12" s="313"/>
      <c r="DGL12" s="313"/>
      <c r="DGM12" s="313"/>
      <c r="DGN12" s="313"/>
      <c r="DGO12" s="313"/>
      <c r="DGP12" s="313"/>
      <c r="DGQ12" s="95"/>
      <c r="DGR12" s="313"/>
      <c r="DGS12" s="313"/>
      <c r="DGT12" s="313"/>
      <c r="DGU12" s="313"/>
      <c r="DGV12" s="313"/>
      <c r="DGW12" s="313"/>
      <c r="DGX12" s="313"/>
      <c r="DGY12" s="95"/>
      <c r="DGZ12" s="313"/>
      <c r="DHA12" s="313"/>
      <c r="DHB12" s="313"/>
      <c r="DHC12" s="313"/>
      <c r="DHD12" s="313"/>
      <c r="DHE12" s="313"/>
      <c r="DHF12" s="313"/>
      <c r="DHG12" s="95"/>
      <c r="DHH12" s="313"/>
      <c r="DHI12" s="313"/>
      <c r="DHJ12" s="313"/>
      <c r="DHK12" s="313"/>
      <c r="DHL12" s="313"/>
      <c r="DHM12" s="313"/>
      <c r="DHN12" s="313"/>
      <c r="DHO12" s="95"/>
      <c r="DHP12" s="313"/>
      <c r="DHQ12" s="313"/>
      <c r="DHR12" s="313"/>
      <c r="DHS12" s="313"/>
      <c r="DHT12" s="313"/>
      <c r="DHU12" s="313"/>
      <c r="DHV12" s="313"/>
      <c r="DHW12" s="95"/>
      <c r="DHX12" s="313"/>
      <c r="DHY12" s="313"/>
      <c r="DHZ12" s="313"/>
      <c r="DIA12" s="313"/>
      <c r="DIB12" s="313"/>
      <c r="DIC12" s="313"/>
      <c r="DID12" s="313"/>
      <c r="DIE12" s="95"/>
      <c r="DIF12" s="313"/>
      <c r="DIG12" s="313"/>
      <c r="DIH12" s="313"/>
      <c r="DII12" s="313"/>
      <c r="DIJ12" s="313"/>
      <c r="DIK12" s="313"/>
      <c r="DIL12" s="313"/>
      <c r="DIM12" s="95"/>
      <c r="DIN12" s="313"/>
      <c r="DIO12" s="313"/>
      <c r="DIP12" s="313"/>
      <c r="DIQ12" s="313"/>
      <c r="DIR12" s="313"/>
      <c r="DIS12" s="313"/>
      <c r="DIT12" s="313"/>
      <c r="DIU12" s="95"/>
      <c r="DIV12" s="313"/>
      <c r="DIW12" s="313"/>
      <c r="DIX12" s="313"/>
      <c r="DIY12" s="313"/>
      <c r="DIZ12" s="313"/>
      <c r="DJA12" s="313"/>
      <c r="DJB12" s="313"/>
      <c r="DJC12" s="95"/>
      <c r="DJD12" s="313"/>
      <c r="DJE12" s="313"/>
      <c r="DJF12" s="313"/>
      <c r="DJG12" s="313"/>
      <c r="DJH12" s="313"/>
      <c r="DJI12" s="313"/>
      <c r="DJJ12" s="313"/>
      <c r="DJK12" s="95"/>
      <c r="DJL12" s="313"/>
      <c r="DJM12" s="313"/>
      <c r="DJN12" s="313"/>
      <c r="DJO12" s="313"/>
      <c r="DJP12" s="313"/>
      <c r="DJQ12" s="313"/>
      <c r="DJR12" s="313"/>
      <c r="DJS12" s="95"/>
      <c r="DJT12" s="313"/>
      <c r="DJU12" s="313"/>
      <c r="DJV12" s="313"/>
      <c r="DJW12" s="313"/>
      <c r="DJX12" s="313"/>
      <c r="DJY12" s="313"/>
      <c r="DJZ12" s="313"/>
      <c r="DKA12" s="95"/>
      <c r="DKB12" s="313"/>
      <c r="DKC12" s="313"/>
      <c r="DKD12" s="313"/>
      <c r="DKE12" s="313"/>
      <c r="DKF12" s="313"/>
      <c r="DKG12" s="313"/>
      <c r="DKH12" s="313"/>
      <c r="DKI12" s="95"/>
      <c r="DKJ12" s="313"/>
      <c r="DKK12" s="313"/>
      <c r="DKL12" s="313"/>
      <c r="DKM12" s="313"/>
      <c r="DKN12" s="313"/>
      <c r="DKO12" s="313"/>
      <c r="DKP12" s="313"/>
      <c r="DKQ12" s="95"/>
      <c r="DKR12" s="313"/>
      <c r="DKS12" s="313"/>
      <c r="DKT12" s="313"/>
      <c r="DKU12" s="313"/>
      <c r="DKV12" s="313"/>
      <c r="DKW12" s="313"/>
      <c r="DKX12" s="313"/>
      <c r="DKY12" s="95"/>
      <c r="DKZ12" s="313"/>
      <c r="DLA12" s="313"/>
      <c r="DLB12" s="313"/>
      <c r="DLC12" s="313"/>
      <c r="DLD12" s="313"/>
      <c r="DLE12" s="313"/>
      <c r="DLF12" s="313"/>
      <c r="DLG12" s="95"/>
      <c r="DLH12" s="313"/>
      <c r="DLI12" s="313"/>
      <c r="DLJ12" s="313"/>
      <c r="DLK12" s="313"/>
      <c r="DLL12" s="313"/>
      <c r="DLM12" s="313"/>
      <c r="DLN12" s="313"/>
      <c r="DLO12" s="95"/>
      <c r="DLP12" s="313"/>
      <c r="DLQ12" s="313"/>
      <c r="DLR12" s="313"/>
      <c r="DLS12" s="313"/>
      <c r="DLT12" s="313"/>
      <c r="DLU12" s="313"/>
      <c r="DLV12" s="313"/>
      <c r="DLW12" s="95"/>
      <c r="DLX12" s="313"/>
      <c r="DLY12" s="313"/>
      <c r="DLZ12" s="313"/>
      <c r="DMA12" s="313"/>
      <c r="DMB12" s="313"/>
      <c r="DMC12" s="313"/>
      <c r="DMD12" s="313"/>
      <c r="DME12" s="95"/>
      <c r="DMF12" s="313"/>
      <c r="DMG12" s="313"/>
      <c r="DMH12" s="313"/>
      <c r="DMI12" s="313"/>
      <c r="DMJ12" s="313"/>
      <c r="DMK12" s="313"/>
      <c r="DML12" s="313"/>
      <c r="DMM12" s="95"/>
      <c r="DMN12" s="313"/>
      <c r="DMO12" s="313"/>
      <c r="DMP12" s="313"/>
      <c r="DMQ12" s="313"/>
      <c r="DMR12" s="313"/>
      <c r="DMS12" s="313"/>
      <c r="DMT12" s="313"/>
      <c r="DMU12" s="95"/>
      <c r="DMV12" s="313"/>
      <c r="DMW12" s="313"/>
      <c r="DMX12" s="313"/>
      <c r="DMY12" s="313"/>
      <c r="DMZ12" s="313"/>
      <c r="DNA12" s="313"/>
      <c r="DNB12" s="313"/>
      <c r="DNC12" s="95"/>
      <c r="DND12" s="313"/>
      <c r="DNE12" s="313"/>
      <c r="DNF12" s="313"/>
      <c r="DNG12" s="313"/>
      <c r="DNH12" s="313"/>
      <c r="DNI12" s="313"/>
      <c r="DNJ12" s="313"/>
      <c r="DNK12" s="95"/>
      <c r="DNL12" s="313"/>
      <c r="DNM12" s="313"/>
      <c r="DNN12" s="313"/>
      <c r="DNO12" s="313"/>
      <c r="DNP12" s="313"/>
      <c r="DNQ12" s="313"/>
      <c r="DNR12" s="313"/>
      <c r="DNS12" s="95"/>
      <c r="DNT12" s="313"/>
      <c r="DNU12" s="313"/>
      <c r="DNV12" s="313"/>
      <c r="DNW12" s="313"/>
      <c r="DNX12" s="313"/>
      <c r="DNY12" s="313"/>
      <c r="DNZ12" s="313"/>
      <c r="DOA12" s="95"/>
      <c r="DOB12" s="313"/>
      <c r="DOC12" s="313"/>
      <c r="DOD12" s="313"/>
      <c r="DOE12" s="313"/>
      <c r="DOF12" s="313"/>
      <c r="DOG12" s="313"/>
      <c r="DOH12" s="313"/>
      <c r="DOI12" s="95"/>
      <c r="DOJ12" s="313"/>
      <c r="DOK12" s="313"/>
      <c r="DOL12" s="313"/>
      <c r="DOM12" s="313"/>
      <c r="DON12" s="313"/>
      <c r="DOO12" s="313"/>
      <c r="DOP12" s="313"/>
      <c r="DOQ12" s="95"/>
      <c r="DOR12" s="313"/>
      <c r="DOS12" s="313"/>
      <c r="DOT12" s="313"/>
      <c r="DOU12" s="313"/>
      <c r="DOV12" s="313"/>
      <c r="DOW12" s="313"/>
      <c r="DOX12" s="313"/>
      <c r="DOY12" s="95"/>
      <c r="DOZ12" s="313"/>
      <c r="DPA12" s="313"/>
      <c r="DPB12" s="313"/>
      <c r="DPC12" s="313"/>
      <c r="DPD12" s="313"/>
      <c r="DPE12" s="313"/>
      <c r="DPF12" s="313"/>
      <c r="DPG12" s="95"/>
      <c r="DPH12" s="313"/>
      <c r="DPI12" s="313"/>
      <c r="DPJ12" s="313"/>
      <c r="DPK12" s="313"/>
      <c r="DPL12" s="313"/>
      <c r="DPM12" s="313"/>
      <c r="DPN12" s="313"/>
      <c r="DPO12" s="95"/>
      <c r="DPP12" s="313"/>
      <c r="DPQ12" s="313"/>
      <c r="DPR12" s="313"/>
      <c r="DPS12" s="313"/>
      <c r="DPT12" s="313"/>
      <c r="DPU12" s="313"/>
      <c r="DPV12" s="313"/>
      <c r="DPW12" s="95"/>
      <c r="DPX12" s="313"/>
      <c r="DPY12" s="313"/>
      <c r="DPZ12" s="313"/>
      <c r="DQA12" s="313"/>
      <c r="DQB12" s="313"/>
      <c r="DQC12" s="313"/>
      <c r="DQD12" s="313"/>
      <c r="DQE12" s="95"/>
      <c r="DQF12" s="313"/>
      <c r="DQG12" s="313"/>
      <c r="DQH12" s="313"/>
      <c r="DQI12" s="313"/>
      <c r="DQJ12" s="313"/>
      <c r="DQK12" s="313"/>
      <c r="DQL12" s="313"/>
      <c r="DQM12" s="95"/>
      <c r="DQN12" s="313"/>
      <c r="DQO12" s="313"/>
      <c r="DQP12" s="313"/>
      <c r="DQQ12" s="313"/>
      <c r="DQR12" s="313"/>
      <c r="DQS12" s="313"/>
      <c r="DQT12" s="313"/>
      <c r="DQU12" s="95"/>
      <c r="DQV12" s="313"/>
      <c r="DQW12" s="313"/>
      <c r="DQX12" s="313"/>
      <c r="DQY12" s="313"/>
      <c r="DQZ12" s="313"/>
      <c r="DRA12" s="313"/>
      <c r="DRB12" s="313"/>
      <c r="DRC12" s="95"/>
      <c r="DRD12" s="313"/>
      <c r="DRE12" s="313"/>
      <c r="DRF12" s="313"/>
      <c r="DRG12" s="313"/>
      <c r="DRH12" s="313"/>
      <c r="DRI12" s="313"/>
      <c r="DRJ12" s="313"/>
      <c r="DRK12" s="95"/>
      <c r="DRL12" s="313"/>
      <c r="DRM12" s="313"/>
      <c r="DRN12" s="313"/>
      <c r="DRO12" s="313"/>
      <c r="DRP12" s="313"/>
      <c r="DRQ12" s="313"/>
      <c r="DRR12" s="313"/>
      <c r="DRS12" s="95"/>
      <c r="DRT12" s="313"/>
      <c r="DRU12" s="313"/>
      <c r="DRV12" s="313"/>
      <c r="DRW12" s="313"/>
      <c r="DRX12" s="313"/>
      <c r="DRY12" s="313"/>
      <c r="DRZ12" s="313"/>
      <c r="DSA12" s="95"/>
      <c r="DSB12" s="313"/>
      <c r="DSC12" s="313"/>
      <c r="DSD12" s="313"/>
      <c r="DSE12" s="313"/>
      <c r="DSF12" s="313"/>
      <c r="DSG12" s="313"/>
      <c r="DSH12" s="313"/>
      <c r="DSI12" s="95"/>
      <c r="DSJ12" s="313"/>
      <c r="DSK12" s="313"/>
      <c r="DSL12" s="313"/>
      <c r="DSM12" s="313"/>
      <c r="DSN12" s="313"/>
      <c r="DSO12" s="313"/>
      <c r="DSP12" s="313"/>
      <c r="DSQ12" s="95"/>
      <c r="DSR12" s="313"/>
      <c r="DSS12" s="313"/>
      <c r="DST12" s="313"/>
      <c r="DSU12" s="313"/>
      <c r="DSV12" s="313"/>
      <c r="DSW12" s="313"/>
      <c r="DSX12" s="313"/>
      <c r="DSY12" s="95"/>
      <c r="DSZ12" s="313"/>
      <c r="DTA12" s="313"/>
      <c r="DTB12" s="313"/>
      <c r="DTC12" s="313"/>
      <c r="DTD12" s="313"/>
      <c r="DTE12" s="313"/>
      <c r="DTF12" s="313"/>
      <c r="DTG12" s="95"/>
      <c r="DTH12" s="313"/>
      <c r="DTI12" s="313"/>
      <c r="DTJ12" s="313"/>
      <c r="DTK12" s="313"/>
      <c r="DTL12" s="313"/>
      <c r="DTM12" s="313"/>
      <c r="DTN12" s="313"/>
      <c r="DTO12" s="95"/>
      <c r="DTP12" s="313"/>
      <c r="DTQ12" s="313"/>
      <c r="DTR12" s="313"/>
      <c r="DTS12" s="313"/>
      <c r="DTT12" s="313"/>
      <c r="DTU12" s="313"/>
      <c r="DTV12" s="313"/>
      <c r="DTW12" s="95"/>
      <c r="DTX12" s="313"/>
      <c r="DTY12" s="313"/>
      <c r="DTZ12" s="313"/>
      <c r="DUA12" s="313"/>
      <c r="DUB12" s="313"/>
      <c r="DUC12" s="313"/>
      <c r="DUD12" s="313"/>
      <c r="DUE12" s="95"/>
      <c r="DUF12" s="313"/>
      <c r="DUG12" s="313"/>
      <c r="DUH12" s="313"/>
      <c r="DUI12" s="313"/>
      <c r="DUJ12" s="313"/>
      <c r="DUK12" s="313"/>
      <c r="DUL12" s="313"/>
      <c r="DUM12" s="95"/>
      <c r="DUN12" s="313"/>
      <c r="DUO12" s="313"/>
      <c r="DUP12" s="313"/>
      <c r="DUQ12" s="313"/>
      <c r="DUR12" s="313"/>
      <c r="DUS12" s="313"/>
      <c r="DUT12" s="313"/>
      <c r="DUU12" s="95"/>
      <c r="DUV12" s="313"/>
      <c r="DUW12" s="313"/>
      <c r="DUX12" s="313"/>
      <c r="DUY12" s="313"/>
      <c r="DUZ12" s="313"/>
      <c r="DVA12" s="313"/>
      <c r="DVB12" s="313"/>
      <c r="DVC12" s="95"/>
      <c r="DVD12" s="313"/>
      <c r="DVE12" s="313"/>
      <c r="DVF12" s="313"/>
      <c r="DVG12" s="313"/>
      <c r="DVH12" s="313"/>
      <c r="DVI12" s="313"/>
      <c r="DVJ12" s="313"/>
      <c r="DVK12" s="95"/>
      <c r="DVL12" s="313"/>
      <c r="DVM12" s="313"/>
      <c r="DVN12" s="313"/>
      <c r="DVO12" s="313"/>
      <c r="DVP12" s="313"/>
      <c r="DVQ12" s="313"/>
      <c r="DVR12" s="313"/>
      <c r="DVS12" s="95"/>
      <c r="DVT12" s="313"/>
      <c r="DVU12" s="313"/>
      <c r="DVV12" s="313"/>
      <c r="DVW12" s="313"/>
      <c r="DVX12" s="313"/>
      <c r="DVY12" s="313"/>
      <c r="DVZ12" s="313"/>
      <c r="DWA12" s="95"/>
      <c r="DWB12" s="313"/>
      <c r="DWC12" s="313"/>
      <c r="DWD12" s="313"/>
      <c r="DWE12" s="313"/>
      <c r="DWF12" s="313"/>
      <c r="DWG12" s="313"/>
      <c r="DWH12" s="313"/>
      <c r="DWI12" s="95"/>
      <c r="DWJ12" s="313"/>
      <c r="DWK12" s="313"/>
      <c r="DWL12" s="313"/>
      <c r="DWM12" s="313"/>
      <c r="DWN12" s="313"/>
      <c r="DWO12" s="313"/>
      <c r="DWP12" s="313"/>
      <c r="DWQ12" s="95"/>
      <c r="DWR12" s="313"/>
      <c r="DWS12" s="313"/>
      <c r="DWT12" s="313"/>
      <c r="DWU12" s="313"/>
      <c r="DWV12" s="313"/>
      <c r="DWW12" s="313"/>
      <c r="DWX12" s="313"/>
      <c r="DWY12" s="95"/>
      <c r="DWZ12" s="313"/>
      <c r="DXA12" s="313"/>
      <c r="DXB12" s="313"/>
      <c r="DXC12" s="313"/>
      <c r="DXD12" s="313"/>
      <c r="DXE12" s="313"/>
      <c r="DXF12" s="313"/>
      <c r="DXG12" s="95"/>
      <c r="DXH12" s="313"/>
      <c r="DXI12" s="313"/>
      <c r="DXJ12" s="313"/>
      <c r="DXK12" s="313"/>
      <c r="DXL12" s="313"/>
      <c r="DXM12" s="313"/>
      <c r="DXN12" s="313"/>
      <c r="DXO12" s="95"/>
      <c r="DXP12" s="313"/>
      <c r="DXQ12" s="313"/>
      <c r="DXR12" s="313"/>
      <c r="DXS12" s="313"/>
      <c r="DXT12" s="313"/>
      <c r="DXU12" s="313"/>
      <c r="DXV12" s="313"/>
      <c r="DXW12" s="95"/>
      <c r="DXX12" s="313"/>
      <c r="DXY12" s="313"/>
      <c r="DXZ12" s="313"/>
      <c r="DYA12" s="313"/>
      <c r="DYB12" s="313"/>
      <c r="DYC12" s="313"/>
      <c r="DYD12" s="313"/>
      <c r="DYE12" s="95"/>
      <c r="DYF12" s="313"/>
      <c r="DYG12" s="313"/>
      <c r="DYH12" s="313"/>
      <c r="DYI12" s="313"/>
      <c r="DYJ12" s="313"/>
      <c r="DYK12" s="313"/>
      <c r="DYL12" s="313"/>
      <c r="DYM12" s="95"/>
      <c r="DYN12" s="313"/>
      <c r="DYO12" s="313"/>
      <c r="DYP12" s="313"/>
      <c r="DYQ12" s="313"/>
      <c r="DYR12" s="313"/>
      <c r="DYS12" s="313"/>
      <c r="DYT12" s="313"/>
      <c r="DYU12" s="95"/>
      <c r="DYV12" s="313"/>
      <c r="DYW12" s="313"/>
      <c r="DYX12" s="313"/>
      <c r="DYY12" s="313"/>
      <c r="DYZ12" s="313"/>
      <c r="DZA12" s="313"/>
      <c r="DZB12" s="313"/>
      <c r="DZC12" s="95"/>
      <c r="DZD12" s="313"/>
      <c r="DZE12" s="313"/>
      <c r="DZF12" s="313"/>
      <c r="DZG12" s="313"/>
      <c r="DZH12" s="313"/>
      <c r="DZI12" s="313"/>
      <c r="DZJ12" s="313"/>
      <c r="DZK12" s="95"/>
      <c r="DZL12" s="313"/>
      <c r="DZM12" s="313"/>
      <c r="DZN12" s="313"/>
      <c r="DZO12" s="313"/>
      <c r="DZP12" s="313"/>
      <c r="DZQ12" s="313"/>
      <c r="DZR12" s="313"/>
      <c r="DZS12" s="95"/>
      <c r="DZT12" s="313"/>
      <c r="DZU12" s="313"/>
      <c r="DZV12" s="313"/>
      <c r="DZW12" s="313"/>
      <c r="DZX12" s="313"/>
      <c r="DZY12" s="313"/>
      <c r="DZZ12" s="313"/>
      <c r="EAA12" s="95"/>
      <c r="EAB12" s="313"/>
      <c r="EAC12" s="313"/>
      <c r="EAD12" s="313"/>
      <c r="EAE12" s="313"/>
      <c r="EAF12" s="313"/>
      <c r="EAG12" s="313"/>
      <c r="EAH12" s="313"/>
      <c r="EAI12" s="95"/>
      <c r="EAJ12" s="313"/>
      <c r="EAK12" s="313"/>
      <c r="EAL12" s="313"/>
      <c r="EAM12" s="313"/>
      <c r="EAN12" s="313"/>
      <c r="EAO12" s="313"/>
      <c r="EAP12" s="313"/>
      <c r="EAQ12" s="95"/>
      <c r="EAR12" s="313"/>
      <c r="EAS12" s="313"/>
      <c r="EAT12" s="313"/>
      <c r="EAU12" s="313"/>
      <c r="EAV12" s="313"/>
      <c r="EAW12" s="313"/>
      <c r="EAX12" s="313"/>
      <c r="EAY12" s="95"/>
      <c r="EAZ12" s="313"/>
      <c r="EBA12" s="313"/>
      <c r="EBB12" s="313"/>
      <c r="EBC12" s="313"/>
      <c r="EBD12" s="313"/>
      <c r="EBE12" s="313"/>
      <c r="EBF12" s="313"/>
      <c r="EBG12" s="95"/>
      <c r="EBH12" s="313"/>
      <c r="EBI12" s="313"/>
      <c r="EBJ12" s="313"/>
      <c r="EBK12" s="313"/>
      <c r="EBL12" s="313"/>
      <c r="EBM12" s="313"/>
      <c r="EBN12" s="313"/>
      <c r="EBO12" s="95"/>
      <c r="EBP12" s="313"/>
      <c r="EBQ12" s="313"/>
      <c r="EBR12" s="313"/>
      <c r="EBS12" s="313"/>
      <c r="EBT12" s="313"/>
      <c r="EBU12" s="313"/>
      <c r="EBV12" s="313"/>
      <c r="EBW12" s="95"/>
      <c r="EBX12" s="313"/>
      <c r="EBY12" s="313"/>
      <c r="EBZ12" s="313"/>
      <c r="ECA12" s="313"/>
      <c r="ECB12" s="313"/>
      <c r="ECC12" s="313"/>
      <c r="ECD12" s="313"/>
      <c r="ECE12" s="95"/>
      <c r="ECF12" s="313"/>
      <c r="ECG12" s="313"/>
      <c r="ECH12" s="313"/>
      <c r="ECI12" s="313"/>
      <c r="ECJ12" s="313"/>
      <c r="ECK12" s="313"/>
      <c r="ECL12" s="313"/>
      <c r="ECM12" s="95"/>
      <c r="ECN12" s="313"/>
      <c r="ECO12" s="313"/>
      <c r="ECP12" s="313"/>
      <c r="ECQ12" s="313"/>
      <c r="ECR12" s="313"/>
      <c r="ECS12" s="313"/>
      <c r="ECT12" s="313"/>
      <c r="ECU12" s="95"/>
      <c r="ECV12" s="313"/>
      <c r="ECW12" s="313"/>
      <c r="ECX12" s="313"/>
      <c r="ECY12" s="313"/>
      <c r="ECZ12" s="313"/>
      <c r="EDA12" s="313"/>
      <c r="EDB12" s="313"/>
      <c r="EDC12" s="95"/>
      <c r="EDD12" s="313"/>
      <c r="EDE12" s="313"/>
      <c r="EDF12" s="313"/>
      <c r="EDG12" s="313"/>
      <c r="EDH12" s="313"/>
      <c r="EDI12" s="313"/>
      <c r="EDJ12" s="313"/>
      <c r="EDK12" s="95"/>
      <c r="EDL12" s="313"/>
      <c r="EDM12" s="313"/>
      <c r="EDN12" s="313"/>
      <c r="EDO12" s="313"/>
      <c r="EDP12" s="313"/>
      <c r="EDQ12" s="313"/>
      <c r="EDR12" s="313"/>
      <c r="EDS12" s="95"/>
      <c r="EDT12" s="313"/>
      <c r="EDU12" s="313"/>
      <c r="EDV12" s="313"/>
      <c r="EDW12" s="313"/>
      <c r="EDX12" s="313"/>
      <c r="EDY12" s="313"/>
      <c r="EDZ12" s="313"/>
      <c r="EEA12" s="95"/>
      <c r="EEB12" s="313"/>
      <c r="EEC12" s="313"/>
      <c r="EED12" s="313"/>
      <c r="EEE12" s="313"/>
      <c r="EEF12" s="313"/>
      <c r="EEG12" s="313"/>
      <c r="EEH12" s="313"/>
      <c r="EEI12" s="95"/>
      <c r="EEJ12" s="313"/>
      <c r="EEK12" s="313"/>
      <c r="EEL12" s="313"/>
      <c r="EEM12" s="313"/>
      <c r="EEN12" s="313"/>
      <c r="EEO12" s="313"/>
      <c r="EEP12" s="313"/>
      <c r="EEQ12" s="95"/>
      <c r="EER12" s="313"/>
      <c r="EES12" s="313"/>
      <c r="EET12" s="313"/>
      <c r="EEU12" s="313"/>
      <c r="EEV12" s="313"/>
      <c r="EEW12" s="313"/>
      <c r="EEX12" s="313"/>
      <c r="EEY12" s="95"/>
      <c r="EEZ12" s="313"/>
      <c r="EFA12" s="313"/>
      <c r="EFB12" s="313"/>
      <c r="EFC12" s="313"/>
      <c r="EFD12" s="313"/>
      <c r="EFE12" s="313"/>
      <c r="EFF12" s="313"/>
      <c r="EFG12" s="95"/>
      <c r="EFH12" s="313"/>
      <c r="EFI12" s="313"/>
      <c r="EFJ12" s="313"/>
      <c r="EFK12" s="313"/>
      <c r="EFL12" s="313"/>
      <c r="EFM12" s="313"/>
      <c r="EFN12" s="313"/>
      <c r="EFO12" s="95"/>
      <c r="EFP12" s="313"/>
      <c r="EFQ12" s="313"/>
      <c r="EFR12" s="313"/>
      <c r="EFS12" s="313"/>
      <c r="EFT12" s="313"/>
      <c r="EFU12" s="313"/>
      <c r="EFV12" s="313"/>
      <c r="EFW12" s="95"/>
      <c r="EFX12" s="313"/>
      <c r="EFY12" s="313"/>
      <c r="EFZ12" s="313"/>
      <c r="EGA12" s="313"/>
      <c r="EGB12" s="313"/>
      <c r="EGC12" s="313"/>
      <c r="EGD12" s="313"/>
      <c r="EGE12" s="95"/>
      <c r="EGF12" s="313"/>
      <c r="EGG12" s="313"/>
      <c r="EGH12" s="313"/>
      <c r="EGI12" s="313"/>
      <c r="EGJ12" s="313"/>
      <c r="EGK12" s="313"/>
      <c r="EGL12" s="313"/>
      <c r="EGM12" s="95"/>
      <c r="EGN12" s="313"/>
      <c r="EGO12" s="313"/>
      <c r="EGP12" s="313"/>
      <c r="EGQ12" s="313"/>
      <c r="EGR12" s="313"/>
      <c r="EGS12" s="313"/>
      <c r="EGT12" s="313"/>
      <c r="EGU12" s="95"/>
      <c r="EGV12" s="313"/>
      <c r="EGW12" s="313"/>
      <c r="EGX12" s="313"/>
      <c r="EGY12" s="313"/>
      <c r="EGZ12" s="313"/>
      <c r="EHA12" s="313"/>
      <c r="EHB12" s="313"/>
      <c r="EHC12" s="95"/>
      <c r="EHD12" s="313"/>
      <c r="EHE12" s="313"/>
      <c r="EHF12" s="313"/>
      <c r="EHG12" s="313"/>
      <c r="EHH12" s="313"/>
      <c r="EHI12" s="313"/>
      <c r="EHJ12" s="313"/>
      <c r="EHK12" s="95"/>
      <c r="EHL12" s="313"/>
      <c r="EHM12" s="313"/>
      <c r="EHN12" s="313"/>
      <c r="EHO12" s="313"/>
      <c r="EHP12" s="313"/>
      <c r="EHQ12" s="313"/>
      <c r="EHR12" s="313"/>
      <c r="EHS12" s="95"/>
      <c r="EHT12" s="313"/>
      <c r="EHU12" s="313"/>
      <c r="EHV12" s="313"/>
      <c r="EHW12" s="313"/>
      <c r="EHX12" s="313"/>
      <c r="EHY12" s="313"/>
      <c r="EHZ12" s="313"/>
      <c r="EIA12" s="95"/>
      <c r="EIB12" s="313"/>
      <c r="EIC12" s="313"/>
      <c r="EID12" s="313"/>
      <c r="EIE12" s="313"/>
      <c r="EIF12" s="313"/>
      <c r="EIG12" s="313"/>
      <c r="EIH12" s="313"/>
      <c r="EII12" s="95"/>
      <c r="EIJ12" s="313"/>
      <c r="EIK12" s="313"/>
      <c r="EIL12" s="313"/>
      <c r="EIM12" s="313"/>
      <c r="EIN12" s="313"/>
      <c r="EIO12" s="313"/>
      <c r="EIP12" s="313"/>
      <c r="EIQ12" s="95"/>
      <c r="EIR12" s="313"/>
      <c r="EIS12" s="313"/>
      <c r="EIT12" s="313"/>
      <c r="EIU12" s="313"/>
      <c r="EIV12" s="313"/>
      <c r="EIW12" s="313"/>
      <c r="EIX12" s="313"/>
      <c r="EIY12" s="95"/>
      <c r="EIZ12" s="313"/>
      <c r="EJA12" s="313"/>
      <c r="EJB12" s="313"/>
      <c r="EJC12" s="313"/>
      <c r="EJD12" s="313"/>
      <c r="EJE12" s="313"/>
      <c r="EJF12" s="313"/>
      <c r="EJG12" s="95"/>
      <c r="EJH12" s="313"/>
      <c r="EJI12" s="313"/>
      <c r="EJJ12" s="313"/>
      <c r="EJK12" s="313"/>
      <c r="EJL12" s="313"/>
      <c r="EJM12" s="313"/>
      <c r="EJN12" s="313"/>
      <c r="EJO12" s="95"/>
      <c r="EJP12" s="313"/>
      <c r="EJQ12" s="313"/>
      <c r="EJR12" s="313"/>
      <c r="EJS12" s="313"/>
      <c r="EJT12" s="313"/>
      <c r="EJU12" s="313"/>
      <c r="EJV12" s="313"/>
      <c r="EJW12" s="95"/>
      <c r="EJX12" s="313"/>
      <c r="EJY12" s="313"/>
      <c r="EJZ12" s="313"/>
      <c r="EKA12" s="313"/>
      <c r="EKB12" s="313"/>
      <c r="EKC12" s="313"/>
      <c r="EKD12" s="313"/>
      <c r="EKE12" s="95"/>
      <c r="EKF12" s="313"/>
      <c r="EKG12" s="313"/>
      <c r="EKH12" s="313"/>
      <c r="EKI12" s="313"/>
      <c r="EKJ12" s="313"/>
      <c r="EKK12" s="313"/>
      <c r="EKL12" s="313"/>
      <c r="EKM12" s="95"/>
      <c r="EKN12" s="313"/>
      <c r="EKO12" s="313"/>
      <c r="EKP12" s="313"/>
      <c r="EKQ12" s="313"/>
      <c r="EKR12" s="313"/>
      <c r="EKS12" s="313"/>
      <c r="EKT12" s="313"/>
      <c r="EKU12" s="95"/>
      <c r="EKV12" s="313"/>
      <c r="EKW12" s="313"/>
      <c r="EKX12" s="313"/>
      <c r="EKY12" s="313"/>
      <c r="EKZ12" s="313"/>
      <c r="ELA12" s="313"/>
      <c r="ELB12" s="313"/>
      <c r="ELC12" s="95"/>
      <c r="ELD12" s="313"/>
      <c r="ELE12" s="313"/>
      <c r="ELF12" s="313"/>
      <c r="ELG12" s="313"/>
      <c r="ELH12" s="313"/>
      <c r="ELI12" s="313"/>
      <c r="ELJ12" s="313"/>
      <c r="ELK12" s="95"/>
      <c r="ELL12" s="313"/>
      <c r="ELM12" s="313"/>
      <c r="ELN12" s="313"/>
      <c r="ELO12" s="313"/>
      <c r="ELP12" s="313"/>
      <c r="ELQ12" s="313"/>
      <c r="ELR12" s="313"/>
      <c r="ELS12" s="95"/>
      <c r="ELT12" s="313"/>
      <c r="ELU12" s="313"/>
      <c r="ELV12" s="313"/>
      <c r="ELW12" s="313"/>
      <c r="ELX12" s="313"/>
      <c r="ELY12" s="313"/>
      <c r="ELZ12" s="313"/>
      <c r="EMA12" s="95"/>
      <c r="EMB12" s="313"/>
      <c r="EMC12" s="313"/>
      <c r="EMD12" s="313"/>
      <c r="EME12" s="313"/>
      <c r="EMF12" s="313"/>
      <c r="EMG12" s="313"/>
      <c r="EMH12" s="313"/>
      <c r="EMI12" s="95"/>
      <c r="EMJ12" s="313"/>
      <c r="EMK12" s="313"/>
      <c r="EML12" s="313"/>
      <c r="EMM12" s="313"/>
      <c r="EMN12" s="313"/>
      <c r="EMO12" s="313"/>
      <c r="EMP12" s="313"/>
      <c r="EMQ12" s="95"/>
      <c r="EMR12" s="313"/>
      <c r="EMS12" s="313"/>
      <c r="EMT12" s="313"/>
      <c r="EMU12" s="313"/>
      <c r="EMV12" s="313"/>
      <c r="EMW12" s="313"/>
      <c r="EMX12" s="313"/>
      <c r="EMY12" s="95"/>
      <c r="EMZ12" s="313"/>
      <c r="ENA12" s="313"/>
      <c r="ENB12" s="313"/>
      <c r="ENC12" s="313"/>
      <c r="END12" s="313"/>
      <c r="ENE12" s="313"/>
      <c r="ENF12" s="313"/>
      <c r="ENG12" s="95"/>
      <c r="ENH12" s="313"/>
      <c r="ENI12" s="313"/>
      <c r="ENJ12" s="313"/>
      <c r="ENK12" s="313"/>
      <c r="ENL12" s="313"/>
      <c r="ENM12" s="313"/>
      <c r="ENN12" s="313"/>
      <c r="ENO12" s="95"/>
      <c r="ENP12" s="313"/>
      <c r="ENQ12" s="313"/>
      <c r="ENR12" s="313"/>
      <c r="ENS12" s="313"/>
      <c r="ENT12" s="313"/>
      <c r="ENU12" s="313"/>
      <c r="ENV12" s="313"/>
      <c r="ENW12" s="95"/>
      <c r="ENX12" s="313"/>
      <c r="ENY12" s="313"/>
      <c r="ENZ12" s="313"/>
      <c r="EOA12" s="313"/>
      <c r="EOB12" s="313"/>
      <c r="EOC12" s="313"/>
      <c r="EOD12" s="313"/>
      <c r="EOE12" s="95"/>
      <c r="EOF12" s="313"/>
      <c r="EOG12" s="313"/>
      <c r="EOH12" s="313"/>
      <c r="EOI12" s="313"/>
      <c r="EOJ12" s="313"/>
      <c r="EOK12" s="313"/>
      <c r="EOL12" s="313"/>
      <c r="EOM12" s="95"/>
      <c r="EON12" s="313"/>
      <c r="EOO12" s="313"/>
      <c r="EOP12" s="313"/>
      <c r="EOQ12" s="313"/>
      <c r="EOR12" s="313"/>
      <c r="EOS12" s="313"/>
      <c r="EOT12" s="313"/>
      <c r="EOU12" s="95"/>
      <c r="EOV12" s="313"/>
      <c r="EOW12" s="313"/>
      <c r="EOX12" s="313"/>
      <c r="EOY12" s="313"/>
      <c r="EOZ12" s="313"/>
      <c r="EPA12" s="313"/>
      <c r="EPB12" s="313"/>
      <c r="EPC12" s="95"/>
      <c r="EPD12" s="313"/>
      <c r="EPE12" s="313"/>
      <c r="EPF12" s="313"/>
      <c r="EPG12" s="313"/>
      <c r="EPH12" s="313"/>
      <c r="EPI12" s="313"/>
      <c r="EPJ12" s="313"/>
      <c r="EPK12" s="95"/>
      <c r="EPL12" s="313"/>
      <c r="EPM12" s="313"/>
      <c r="EPN12" s="313"/>
      <c r="EPO12" s="313"/>
      <c r="EPP12" s="313"/>
      <c r="EPQ12" s="313"/>
      <c r="EPR12" s="313"/>
      <c r="EPS12" s="95"/>
      <c r="EPT12" s="313"/>
      <c r="EPU12" s="313"/>
      <c r="EPV12" s="313"/>
      <c r="EPW12" s="313"/>
      <c r="EPX12" s="313"/>
      <c r="EPY12" s="313"/>
      <c r="EPZ12" s="313"/>
      <c r="EQA12" s="95"/>
      <c r="EQB12" s="313"/>
      <c r="EQC12" s="313"/>
      <c r="EQD12" s="313"/>
      <c r="EQE12" s="313"/>
      <c r="EQF12" s="313"/>
      <c r="EQG12" s="313"/>
      <c r="EQH12" s="313"/>
      <c r="EQI12" s="95"/>
      <c r="EQJ12" s="313"/>
      <c r="EQK12" s="313"/>
      <c r="EQL12" s="313"/>
      <c r="EQM12" s="313"/>
      <c r="EQN12" s="313"/>
      <c r="EQO12" s="313"/>
      <c r="EQP12" s="313"/>
      <c r="EQQ12" s="95"/>
      <c r="EQR12" s="313"/>
      <c r="EQS12" s="313"/>
      <c r="EQT12" s="313"/>
      <c r="EQU12" s="313"/>
      <c r="EQV12" s="313"/>
      <c r="EQW12" s="313"/>
      <c r="EQX12" s="313"/>
      <c r="EQY12" s="95"/>
      <c r="EQZ12" s="313"/>
      <c r="ERA12" s="313"/>
      <c r="ERB12" s="313"/>
      <c r="ERC12" s="313"/>
      <c r="ERD12" s="313"/>
      <c r="ERE12" s="313"/>
      <c r="ERF12" s="313"/>
      <c r="ERG12" s="95"/>
      <c r="ERH12" s="313"/>
      <c r="ERI12" s="313"/>
      <c r="ERJ12" s="313"/>
      <c r="ERK12" s="313"/>
      <c r="ERL12" s="313"/>
      <c r="ERM12" s="313"/>
      <c r="ERN12" s="313"/>
      <c r="ERO12" s="95"/>
      <c r="ERP12" s="313"/>
      <c r="ERQ12" s="313"/>
      <c r="ERR12" s="313"/>
      <c r="ERS12" s="313"/>
      <c r="ERT12" s="313"/>
      <c r="ERU12" s="313"/>
      <c r="ERV12" s="313"/>
      <c r="ERW12" s="95"/>
      <c r="ERX12" s="313"/>
      <c r="ERY12" s="313"/>
      <c r="ERZ12" s="313"/>
      <c r="ESA12" s="313"/>
      <c r="ESB12" s="313"/>
      <c r="ESC12" s="313"/>
      <c r="ESD12" s="313"/>
      <c r="ESE12" s="95"/>
      <c r="ESF12" s="313"/>
      <c r="ESG12" s="313"/>
      <c r="ESH12" s="313"/>
      <c r="ESI12" s="313"/>
      <c r="ESJ12" s="313"/>
      <c r="ESK12" s="313"/>
      <c r="ESL12" s="313"/>
      <c r="ESM12" s="95"/>
      <c r="ESN12" s="313"/>
      <c r="ESO12" s="313"/>
      <c r="ESP12" s="313"/>
      <c r="ESQ12" s="313"/>
      <c r="ESR12" s="313"/>
      <c r="ESS12" s="313"/>
      <c r="EST12" s="313"/>
      <c r="ESU12" s="95"/>
      <c r="ESV12" s="313"/>
      <c r="ESW12" s="313"/>
      <c r="ESX12" s="313"/>
      <c r="ESY12" s="313"/>
      <c r="ESZ12" s="313"/>
      <c r="ETA12" s="313"/>
      <c r="ETB12" s="313"/>
      <c r="ETC12" s="95"/>
      <c r="ETD12" s="313"/>
      <c r="ETE12" s="313"/>
      <c r="ETF12" s="313"/>
      <c r="ETG12" s="313"/>
      <c r="ETH12" s="313"/>
      <c r="ETI12" s="313"/>
      <c r="ETJ12" s="313"/>
      <c r="ETK12" s="95"/>
      <c r="ETL12" s="313"/>
      <c r="ETM12" s="313"/>
      <c r="ETN12" s="313"/>
      <c r="ETO12" s="313"/>
      <c r="ETP12" s="313"/>
      <c r="ETQ12" s="313"/>
      <c r="ETR12" s="313"/>
      <c r="ETS12" s="95"/>
      <c r="ETT12" s="313"/>
      <c r="ETU12" s="313"/>
      <c r="ETV12" s="313"/>
      <c r="ETW12" s="313"/>
      <c r="ETX12" s="313"/>
      <c r="ETY12" s="313"/>
      <c r="ETZ12" s="313"/>
      <c r="EUA12" s="95"/>
      <c r="EUB12" s="313"/>
      <c r="EUC12" s="313"/>
      <c r="EUD12" s="313"/>
      <c r="EUE12" s="313"/>
      <c r="EUF12" s="313"/>
      <c r="EUG12" s="313"/>
      <c r="EUH12" s="313"/>
      <c r="EUI12" s="95"/>
      <c r="EUJ12" s="313"/>
      <c r="EUK12" s="313"/>
      <c r="EUL12" s="313"/>
      <c r="EUM12" s="313"/>
      <c r="EUN12" s="313"/>
      <c r="EUO12" s="313"/>
      <c r="EUP12" s="313"/>
      <c r="EUQ12" s="95"/>
      <c r="EUR12" s="313"/>
      <c r="EUS12" s="313"/>
      <c r="EUT12" s="313"/>
      <c r="EUU12" s="313"/>
      <c r="EUV12" s="313"/>
      <c r="EUW12" s="313"/>
      <c r="EUX12" s="313"/>
      <c r="EUY12" s="95"/>
      <c r="EUZ12" s="313"/>
      <c r="EVA12" s="313"/>
      <c r="EVB12" s="313"/>
      <c r="EVC12" s="313"/>
      <c r="EVD12" s="313"/>
      <c r="EVE12" s="313"/>
      <c r="EVF12" s="313"/>
      <c r="EVG12" s="95"/>
      <c r="EVH12" s="313"/>
      <c r="EVI12" s="313"/>
      <c r="EVJ12" s="313"/>
      <c r="EVK12" s="313"/>
      <c r="EVL12" s="313"/>
      <c r="EVM12" s="313"/>
      <c r="EVN12" s="313"/>
      <c r="EVO12" s="95"/>
      <c r="EVP12" s="313"/>
      <c r="EVQ12" s="313"/>
      <c r="EVR12" s="313"/>
      <c r="EVS12" s="313"/>
      <c r="EVT12" s="313"/>
      <c r="EVU12" s="313"/>
      <c r="EVV12" s="313"/>
      <c r="EVW12" s="95"/>
      <c r="EVX12" s="313"/>
      <c r="EVY12" s="313"/>
      <c r="EVZ12" s="313"/>
      <c r="EWA12" s="313"/>
      <c r="EWB12" s="313"/>
      <c r="EWC12" s="313"/>
      <c r="EWD12" s="313"/>
      <c r="EWE12" s="95"/>
      <c r="EWF12" s="313"/>
      <c r="EWG12" s="313"/>
      <c r="EWH12" s="313"/>
      <c r="EWI12" s="313"/>
      <c r="EWJ12" s="313"/>
      <c r="EWK12" s="313"/>
      <c r="EWL12" s="313"/>
      <c r="EWM12" s="95"/>
      <c r="EWN12" s="313"/>
      <c r="EWO12" s="313"/>
      <c r="EWP12" s="313"/>
      <c r="EWQ12" s="313"/>
      <c r="EWR12" s="313"/>
      <c r="EWS12" s="313"/>
      <c r="EWT12" s="313"/>
      <c r="EWU12" s="95"/>
      <c r="EWV12" s="313"/>
      <c r="EWW12" s="313"/>
      <c r="EWX12" s="313"/>
      <c r="EWY12" s="313"/>
      <c r="EWZ12" s="313"/>
      <c r="EXA12" s="313"/>
      <c r="EXB12" s="313"/>
      <c r="EXC12" s="95"/>
      <c r="EXD12" s="313"/>
      <c r="EXE12" s="313"/>
      <c r="EXF12" s="313"/>
      <c r="EXG12" s="313"/>
      <c r="EXH12" s="313"/>
      <c r="EXI12" s="313"/>
      <c r="EXJ12" s="313"/>
      <c r="EXK12" s="95"/>
      <c r="EXL12" s="313"/>
      <c r="EXM12" s="313"/>
      <c r="EXN12" s="313"/>
      <c r="EXO12" s="313"/>
      <c r="EXP12" s="313"/>
      <c r="EXQ12" s="313"/>
      <c r="EXR12" s="313"/>
      <c r="EXS12" s="95"/>
      <c r="EXT12" s="313"/>
      <c r="EXU12" s="313"/>
      <c r="EXV12" s="313"/>
      <c r="EXW12" s="313"/>
      <c r="EXX12" s="313"/>
      <c r="EXY12" s="313"/>
      <c r="EXZ12" s="313"/>
      <c r="EYA12" s="95"/>
      <c r="EYB12" s="313"/>
      <c r="EYC12" s="313"/>
      <c r="EYD12" s="313"/>
      <c r="EYE12" s="313"/>
      <c r="EYF12" s="313"/>
      <c r="EYG12" s="313"/>
      <c r="EYH12" s="313"/>
      <c r="EYI12" s="95"/>
      <c r="EYJ12" s="313"/>
      <c r="EYK12" s="313"/>
      <c r="EYL12" s="313"/>
      <c r="EYM12" s="313"/>
      <c r="EYN12" s="313"/>
      <c r="EYO12" s="313"/>
      <c r="EYP12" s="313"/>
      <c r="EYQ12" s="95"/>
      <c r="EYR12" s="313"/>
      <c r="EYS12" s="313"/>
      <c r="EYT12" s="313"/>
      <c r="EYU12" s="313"/>
      <c r="EYV12" s="313"/>
      <c r="EYW12" s="313"/>
      <c r="EYX12" s="313"/>
      <c r="EYY12" s="95"/>
      <c r="EYZ12" s="313"/>
      <c r="EZA12" s="313"/>
      <c r="EZB12" s="313"/>
      <c r="EZC12" s="313"/>
      <c r="EZD12" s="313"/>
      <c r="EZE12" s="313"/>
      <c r="EZF12" s="313"/>
      <c r="EZG12" s="95"/>
      <c r="EZH12" s="313"/>
      <c r="EZI12" s="313"/>
      <c r="EZJ12" s="313"/>
      <c r="EZK12" s="313"/>
      <c r="EZL12" s="313"/>
      <c r="EZM12" s="313"/>
      <c r="EZN12" s="313"/>
      <c r="EZO12" s="95"/>
      <c r="EZP12" s="313"/>
      <c r="EZQ12" s="313"/>
      <c r="EZR12" s="313"/>
      <c r="EZS12" s="313"/>
      <c r="EZT12" s="313"/>
      <c r="EZU12" s="313"/>
      <c r="EZV12" s="313"/>
      <c r="EZW12" s="95"/>
      <c r="EZX12" s="313"/>
      <c r="EZY12" s="313"/>
      <c r="EZZ12" s="313"/>
      <c r="FAA12" s="313"/>
      <c r="FAB12" s="313"/>
      <c r="FAC12" s="313"/>
      <c r="FAD12" s="313"/>
      <c r="FAE12" s="95"/>
      <c r="FAF12" s="313"/>
      <c r="FAG12" s="313"/>
      <c r="FAH12" s="313"/>
      <c r="FAI12" s="313"/>
      <c r="FAJ12" s="313"/>
      <c r="FAK12" s="313"/>
      <c r="FAL12" s="313"/>
      <c r="FAM12" s="95"/>
      <c r="FAN12" s="313"/>
      <c r="FAO12" s="313"/>
      <c r="FAP12" s="313"/>
      <c r="FAQ12" s="313"/>
      <c r="FAR12" s="313"/>
      <c r="FAS12" s="313"/>
      <c r="FAT12" s="313"/>
      <c r="FAU12" s="95"/>
      <c r="FAV12" s="313"/>
      <c r="FAW12" s="313"/>
      <c r="FAX12" s="313"/>
      <c r="FAY12" s="313"/>
      <c r="FAZ12" s="313"/>
      <c r="FBA12" s="313"/>
      <c r="FBB12" s="313"/>
      <c r="FBC12" s="95"/>
      <c r="FBD12" s="313"/>
      <c r="FBE12" s="313"/>
      <c r="FBF12" s="313"/>
      <c r="FBG12" s="313"/>
      <c r="FBH12" s="313"/>
      <c r="FBI12" s="313"/>
      <c r="FBJ12" s="313"/>
      <c r="FBK12" s="95"/>
      <c r="FBL12" s="313"/>
      <c r="FBM12" s="313"/>
      <c r="FBN12" s="313"/>
      <c r="FBO12" s="313"/>
      <c r="FBP12" s="313"/>
      <c r="FBQ12" s="313"/>
      <c r="FBR12" s="313"/>
      <c r="FBS12" s="95"/>
      <c r="FBT12" s="313"/>
      <c r="FBU12" s="313"/>
      <c r="FBV12" s="313"/>
      <c r="FBW12" s="313"/>
      <c r="FBX12" s="313"/>
      <c r="FBY12" s="313"/>
      <c r="FBZ12" s="313"/>
      <c r="FCA12" s="95"/>
      <c r="FCB12" s="313"/>
      <c r="FCC12" s="313"/>
      <c r="FCD12" s="313"/>
      <c r="FCE12" s="313"/>
      <c r="FCF12" s="313"/>
      <c r="FCG12" s="313"/>
      <c r="FCH12" s="313"/>
      <c r="FCI12" s="95"/>
      <c r="FCJ12" s="313"/>
      <c r="FCK12" s="313"/>
      <c r="FCL12" s="313"/>
      <c r="FCM12" s="313"/>
      <c r="FCN12" s="313"/>
      <c r="FCO12" s="313"/>
      <c r="FCP12" s="313"/>
      <c r="FCQ12" s="95"/>
      <c r="FCR12" s="313"/>
      <c r="FCS12" s="313"/>
      <c r="FCT12" s="313"/>
      <c r="FCU12" s="313"/>
      <c r="FCV12" s="313"/>
      <c r="FCW12" s="313"/>
      <c r="FCX12" s="313"/>
      <c r="FCY12" s="95"/>
      <c r="FCZ12" s="313"/>
      <c r="FDA12" s="313"/>
      <c r="FDB12" s="313"/>
      <c r="FDC12" s="313"/>
      <c r="FDD12" s="313"/>
      <c r="FDE12" s="313"/>
      <c r="FDF12" s="313"/>
      <c r="FDG12" s="95"/>
      <c r="FDH12" s="313"/>
      <c r="FDI12" s="313"/>
      <c r="FDJ12" s="313"/>
      <c r="FDK12" s="313"/>
      <c r="FDL12" s="313"/>
      <c r="FDM12" s="313"/>
      <c r="FDN12" s="313"/>
      <c r="FDO12" s="95"/>
      <c r="FDP12" s="313"/>
      <c r="FDQ12" s="313"/>
      <c r="FDR12" s="313"/>
      <c r="FDS12" s="313"/>
      <c r="FDT12" s="313"/>
      <c r="FDU12" s="313"/>
      <c r="FDV12" s="313"/>
      <c r="FDW12" s="95"/>
      <c r="FDX12" s="313"/>
      <c r="FDY12" s="313"/>
      <c r="FDZ12" s="313"/>
      <c r="FEA12" s="313"/>
      <c r="FEB12" s="313"/>
      <c r="FEC12" s="313"/>
      <c r="FED12" s="313"/>
      <c r="FEE12" s="95"/>
      <c r="FEF12" s="313"/>
      <c r="FEG12" s="313"/>
      <c r="FEH12" s="313"/>
      <c r="FEI12" s="313"/>
      <c r="FEJ12" s="313"/>
      <c r="FEK12" s="313"/>
      <c r="FEL12" s="313"/>
      <c r="FEM12" s="95"/>
      <c r="FEN12" s="313"/>
      <c r="FEO12" s="313"/>
      <c r="FEP12" s="313"/>
      <c r="FEQ12" s="313"/>
      <c r="FER12" s="313"/>
      <c r="FES12" s="313"/>
      <c r="FET12" s="313"/>
      <c r="FEU12" s="95"/>
      <c r="FEV12" s="313"/>
      <c r="FEW12" s="313"/>
      <c r="FEX12" s="313"/>
      <c r="FEY12" s="313"/>
      <c r="FEZ12" s="313"/>
      <c r="FFA12" s="313"/>
      <c r="FFB12" s="313"/>
      <c r="FFC12" s="95"/>
      <c r="FFD12" s="313"/>
      <c r="FFE12" s="313"/>
      <c r="FFF12" s="313"/>
      <c r="FFG12" s="313"/>
      <c r="FFH12" s="313"/>
      <c r="FFI12" s="313"/>
      <c r="FFJ12" s="313"/>
      <c r="FFK12" s="95"/>
      <c r="FFL12" s="313"/>
      <c r="FFM12" s="313"/>
      <c r="FFN12" s="313"/>
      <c r="FFO12" s="313"/>
      <c r="FFP12" s="313"/>
      <c r="FFQ12" s="313"/>
      <c r="FFR12" s="313"/>
      <c r="FFS12" s="95"/>
      <c r="FFT12" s="313"/>
      <c r="FFU12" s="313"/>
      <c r="FFV12" s="313"/>
      <c r="FFW12" s="313"/>
      <c r="FFX12" s="313"/>
      <c r="FFY12" s="313"/>
      <c r="FFZ12" s="313"/>
      <c r="FGA12" s="95"/>
      <c r="FGB12" s="313"/>
      <c r="FGC12" s="313"/>
      <c r="FGD12" s="313"/>
      <c r="FGE12" s="313"/>
      <c r="FGF12" s="313"/>
      <c r="FGG12" s="313"/>
      <c r="FGH12" s="313"/>
      <c r="FGI12" s="95"/>
      <c r="FGJ12" s="313"/>
      <c r="FGK12" s="313"/>
      <c r="FGL12" s="313"/>
      <c r="FGM12" s="313"/>
      <c r="FGN12" s="313"/>
      <c r="FGO12" s="313"/>
      <c r="FGP12" s="313"/>
      <c r="FGQ12" s="95"/>
      <c r="FGR12" s="313"/>
      <c r="FGS12" s="313"/>
      <c r="FGT12" s="313"/>
      <c r="FGU12" s="313"/>
      <c r="FGV12" s="313"/>
      <c r="FGW12" s="313"/>
      <c r="FGX12" s="313"/>
      <c r="FGY12" s="95"/>
      <c r="FGZ12" s="313"/>
      <c r="FHA12" s="313"/>
      <c r="FHB12" s="313"/>
      <c r="FHC12" s="313"/>
      <c r="FHD12" s="313"/>
      <c r="FHE12" s="313"/>
      <c r="FHF12" s="313"/>
      <c r="FHG12" s="95"/>
      <c r="FHH12" s="313"/>
      <c r="FHI12" s="313"/>
      <c r="FHJ12" s="313"/>
      <c r="FHK12" s="313"/>
      <c r="FHL12" s="313"/>
      <c r="FHM12" s="313"/>
      <c r="FHN12" s="313"/>
      <c r="FHO12" s="95"/>
      <c r="FHP12" s="313"/>
      <c r="FHQ12" s="313"/>
      <c r="FHR12" s="313"/>
      <c r="FHS12" s="313"/>
      <c r="FHT12" s="313"/>
      <c r="FHU12" s="313"/>
      <c r="FHV12" s="313"/>
      <c r="FHW12" s="95"/>
      <c r="FHX12" s="313"/>
      <c r="FHY12" s="313"/>
      <c r="FHZ12" s="313"/>
      <c r="FIA12" s="313"/>
      <c r="FIB12" s="313"/>
      <c r="FIC12" s="313"/>
      <c r="FID12" s="313"/>
      <c r="FIE12" s="95"/>
      <c r="FIF12" s="313"/>
      <c r="FIG12" s="313"/>
      <c r="FIH12" s="313"/>
      <c r="FII12" s="313"/>
      <c r="FIJ12" s="313"/>
      <c r="FIK12" s="313"/>
      <c r="FIL12" s="313"/>
      <c r="FIM12" s="95"/>
      <c r="FIN12" s="313"/>
      <c r="FIO12" s="313"/>
      <c r="FIP12" s="313"/>
      <c r="FIQ12" s="313"/>
      <c r="FIR12" s="313"/>
      <c r="FIS12" s="313"/>
      <c r="FIT12" s="313"/>
      <c r="FIU12" s="95"/>
      <c r="FIV12" s="313"/>
      <c r="FIW12" s="313"/>
      <c r="FIX12" s="313"/>
      <c r="FIY12" s="313"/>
      <c r="FIZ12" s="313"/>
      <c r="FJA12" s="313"/>
      <c r="FJB12" s="313"/>
      <c r="FJC12" s="95"/>
      <c r="FJD12" s="313"/>
      <c r="FJE12" s="313"/>
      <c r="FJF12" s="313"/>
      <c r="FJG12" s="313"/>
      <c r="FJH12" s="313"/>
      <c r="FJI12" s="313"/>
      <c r="FJJ12" s="313"/>
      <c r="FJK12" s="95"/>
      <c r="FJL12" s="313"/>
      <c r="FJM12" s="313"/>
      <c r="FJN12" s="313"/>
      <c r="FJO12" s="313"/>
      <c r="FJP12" s="313"/>
      <c r="FJQ12" s="313"/>
      <c r="FJR12" s="313"/>
      <c r="FJS12" s="95"/>
      <c r="FJT12" s="313"/>
      <c r="FJU12" s="313"/>
      <c r="FJV12" s="313"/>
      <c r="FJW12" s="313"/>
      <c r="FJX12" s="313"/>
      <c r="FJY12" s="313"/>
      <c r="FJZ12" s="313"/>
      <c r="FKA12" s="95"/>
      <c r="FKB12" s="313"/>
      <c r="FKC12" s="313"/>
      <c r="FKD12" s="313"/>
      <c r="FKE12" s="313"/>
      <c r="FKF12" s="313"/>
      <c r="FKG12" s="313"/>
      <c r="FKH12" s="313"/>
      <c r="FKI12" s="95"/>
      <c r="FKJ12" s="313"/>
      <c r="FKK12" s="313"/>
      <c r="FKL12" s="313"/>
      <c r="FKM12" s="313"/>
      <c r="FKN12" s="313"/>
      <c r="FKO12" s="313"/>
      <c r="FKP12" s="313"/>
      <c r="FKQ12" s="95"/>
      <c r="FKR12" s="313"/>
      <c r="FKS12" s="313"/>
      <c r="FKT12" s="313"/>
      <c r="FKU12" s="313"/>
      <c r="FKV12" s="313"/>
      <c r="FKW12" s="313"/>
      <c r="FKX12" s="313"/>
      <c r="FKY12" s="95"/>
      <c r="FKZ12" s="313"/>
      <c r="FLA12" s="313"/>
      <c r="FLB12" s="313"/>
      <c r="FLC12" s="313"/>
      <c r="FLD12" s="313"/>
      <c r="FLE12" s="313"/>
      <c r="FLF12" s="313"/>
      <c r="FLG12" s="95"/>
      <c r="FLH12" s="313"/>
      <c r="FLI12" s="313"/>
      <c r="FLJ12" s="313"/>
      <c r="FLK12" s="313"/>
      <c r="FLL12" s="313"/>
      <c r="FLM12" s="313"/>
      <c r="FLN12" s="313"/>
      <c r="FLO12" s="95"/>
      <c r="FLP12" s="313"/>
      <c r="FLQ12" s="313"/>
      <c r="FLR12" s="313"/>
      <c r="FLS12" s="313"/>
      <c r="FLT12" s="313"/>
      <c r="FLU12" s="313"/>
      <c r="FLV12" s="313"/>
      <c r="FLW12" s="95"/>
      <c r="FLX12" s="313"/>
      <c r="FLY12" s="313"/>
      <c r="FLZ12" s="313"/>
      <c r="FMA12" s="313"/>
      <c r="FMB12" s="313"/>
      <c r="FMC12" s="313"/>
      <c r="FMD12" s="313"/>
      <c r="FME12" s="95"/>
      <c r="FMF12" s="313"/>
      <c r="FMG12" s="313"/>
      <c r="FMH12" s="313"/>
      <c r="FMI12" s="313"/>
      <c r="FMJ12" s="313"/>
      <c r="FMK12" s="313"/>
      <c r="FML12" s="313"/>
      <c r="FMM12" s="95"/>
      <c r="FMN12" s="313"/>
      <c r="FMO12" s="313"/>
      <c r="FMP12" s="313"/>
      <c r="FMQ12" s="313"/>
      <c r="FMR12" s="313"/>
      <c r="FMS12" s="313"/>
      <c r="FMT12" s="313"/>
      <c r="FMU12" s="95"/>
      <c r="FMV12" s="313"/>
      <c r="FMW12" s="313"/>
      <c r="FMX12" s="313"/>
      <c r="FMY12" s="313"/>
      <c r="FMZ12" s="313"/>
      <c r="FNA12" s="313"/>
      <c r="FNB12" s="313"/>
      <c r="FNC12" s="95"/>
      <c r="FND12" s="313"/>
      <c r="FNE12" s="313"/>
      <c r="FNF12" s="313"/>
      <c r="FNG12" s="313"/>
      <c r="FNH12" s="313"/>
      <c r="FNI12" s="313"/>
      <c r="FNJ12" s="313"/>
      <c r="FNK12" s="95"/>
      <c r="FNL12" s="313"/>
      <c r="FNM12" s="313"/>
      <c r="FNN12" s="313"/>
      <c r="FNO12" s="313"/>
      <c r="FNP12" s="313"/>
      <c r="FNQ12" s="313"/>
      <c r="FNR12" s="313"/>
      <c r="FNS12" s="95"/>
      <c r="FNT12" s="313"/>
      <c r="FNU12" s="313"/>
      <c r="FNV12" s="313"/>
      <c r="FNW12" s="313"/>
      <c r="FNX12" s="313"/>
      <c r="FNY12" s="313"/>
      <c r="FNZ12" s="313"/>
      <c r="FOA12" s="95"/>
      <c r="FOB12" s="313"/>
      <c r="FOC12" s="313"/>
      <c r="FOD12" s="313"/>
      <c r="FOE12" s="313"/>
      <c r="FOF12" s="313"/>
      <c r="FOG12" s="313"/>
      <c r="FOH12" s="313"/>
      <c r="FOI12" s="95"/>
      <c r="FOJ12" s="313"/>
      <c r="FOK12" s="313"/>
      <c r="FOL12" s="313"/>
      <c r="FOM12" s="313"/>
      <c r="FON12" s="313"/>
      <c r="FOO12" s="313"/>
      <c r="FOP12" s="313"/>
      <c r="FOQ12" s="95"/>
      <c r="FOR12" s="313"/>
      <c r="FOS12" s="313"/>
      <c r="FOT12" s="313"/>
      <c r="FOU12" s="313"/>
      <c r="FOV12" s="313"/>
      <c r="FOW12" s="313"/>
      <c r="FOX12" s="313"/>
      <c r="FOY12" s="95"/>
      <c r="FOZ12" s="313"/>
      <c r="FPA12" s="313"/>
      <c r="FPB12" s="313"/>
      <c r="FPC12" s="313"/>
      <c r="FPD12" s="313"/>
      <c r="FPE12" s="313"/>
      <c r="FPF12" s="313"/>
      <c r="FPG12" s="95"/>
      <c r="FPH12" s="313"/>
      <c r="FPI12" s="313"/>
      <c r="FPJ12" s="313"/>
      <c r="FPK12" s="313"/>
      <c r="FPL12" s="313"/>
      <c r="FPM12" s="313"/>
      <c r="FPN12" s="313"/>
      <c r="FPO12" s="95"/>
      <c r="FPP12" s="313"/>
      <c r="FPQ12" s="313"/>
      <c r="FPR12" s="313"/>
      <c r="FPS12" s="313"/>
      <c r="FPT12" s="313"/>
      <c r="FPU12" s="313"/>
      <c r="FPV12" s="313"/>
      <c r="FPW12" s="95"/>
      <c r="FPX12" s="313"/>
      <c r="FPY12" s="313"/>
      <c r="FPZ12" s="313"/>
      <c r="FQA12" s="313"/>
      <c r="FQB12" s="313"/>
      <c r="FQC12" s="313"/>
      <c r="FQD12" s="313"/>
      <c r="FQE12" s="95"/>
      <c r="FQF12" s="313"/>
      <c r="FQG12" s="313"/>
      <c r="FQH12" s="313"/>
      <c r="FQI12" s="313"/>
      <c r="FQJ12" s="313"/>
      <c r="FQK12" s="313"/>
      <c r="FQL12" s="313"/>
      <c r="FQM12" s="95"/>
      <c r="FQN12" s="313"/>
      <c r="FQO12" s="313"/>
      <c r="FQP12" s="313"/>
      <c r="FQQ12" s="313"/>
      <c r="FQR12" s="313"/>
      <c r="FQS12" s="313"/>
      <c r="FQT12" s="313"/>
      <c r="FQU12" s="95"/>
      <c r="FQV12" s="313"/>
      <c r="FQW12" s="313"/>
      <c r="FQX12" s="313"/>
      <c r="FQY12" s="313"/>
      <c r="FQZ12" s="313"/>
      <c r="FRA12" s="313"/>
      <c r="FRB12" s="313"/>
      <c r="FRC12" s="95"/>
      <c r="FRD12" s="313"/>
      <c r="FRE12" s="313"/>
      <c r="FRF12" s="313"/>
      <c r="FRG12" s="313"/>
      <c r="FRH12" s="313"/>
      <c r="FRI12" s="313"/>
      <c r="FRJ12" s="313"/>
      <c r="FRK12" s="95"/>
      <c r="FRL12" s="313"/>
      <c r="FRM12" s="313"/>
      <c r="FRN12" s="313"/>
      <c r="FRO12" s="313"/>
      <c r="FRP12" s="313"/>
      <c r="FRQ12" s="313"/>
      <c r="FRR12" s="313"/>
      <c r="FRS12" s="95"/>
      <c r="FRT12" s="313"/>
      <c r="FRU12" s="313"/>
      <c r="FRV12" s="313"/>
      <c r="FRW12" s="313"/>
      <c r="FRX12" s="313"/>
      <c r="FRY12" s="313"/>
      <c r="FRZ12" s="313"/>
      <c r="FSA12" s="95"/>
      <c r="FSB12" s="313"/>
      <c r="FSC12" s="313"/>
      <c r="FSD12" s="313"/>
      <c r="FSE12" s="313"/>
      <c r="FSF12" s="313"/>
      <c r="FSG12" s="313"/>
      <c r="FSH12" s="313"/>
      <c r="FSI12" s="95"/>
      <c r="FSJ12" s="313"/>
      <c r="FSK12" s="313"/>
      <c r="FSL12" s="313"/>
      <c r="FSM12" s="313"/>
      <c r="FSN12" s="313"/>
      <c r="FSO12" s="313"/>
      <c r="FSP12" s="313"/>
      <c r="FSQ12" s="95"/>
      <c r="FSR12" s="313"/>
      <c r="FSS12" s="313"/>
      <c r="FST12" s="313"/>
      <c r="FSU12" s="313"/>
      <c r="FSV12" s="313"/>
      <c r="FSW12" s="313"/>
      <c r="FSX12" s="313"/>
      <c r="FSY12" s="95"/>
      <c r="FSZ12" s="313"/>
      <c r="FTA12" s="313"/>
      <c r="FTB12" s="313"/>
      <c r="FTC12" s="313"/>
      <c r="FTD12" s="313"/>
      <c r="FTE12" s="313"/>
      <c r="FTF12" s="313"/>
      <c r="FTG12" s="95"/>
      <c r="FTH12" s="313"/>
      <c r="FTI12" s="313"/>
      <c r="FTJ12" s="313"/>
      <c r="FTK12" s="313"/>
      <c r="FTL12" s="313"/>
      <c r="FTM12" s="313"/>
      <c r="FTN12" s="313"/>
      <c r="FTO12" s="95"/>
      <c r="FTP12" s="313"/>
      <c r="FTQ12" s="313"/>
      <c r="FTR12" s="313"/>
      <c r="FTS12" s="313"/>
      <c r="FTT12" s="313"/>
      <c r="FTU12" s="313"/>
      <c r="FTV12" s="313"/>
      <c r="FTW12" s="95"/>
      <c r="FTX12" s="313"/>
      <c r="FTY12" s="313"/>
      <c r="FTZ12" s="313"/>
      <c r="FUA12" s="313"/>
      <c r="FUB12" s="313"/>
      <c r="FUC12" s="313"/>
      <c r="FUD12" s="313"/>
      <c r="FUE12" s="95"/>
      <c r="FUF12" s="313"/>
      <c r="FUG12" s="313"/>
      <c r="FUH12" s="313"/>
      <c r="FUI12" s="313"/>
      <c r="FUJ12" s="313"/>
      <c r="FUK12" s="313"/>
      <c r="FUL12" s="313"/>
      <c r="FUM12" s="95"/>
      <c r="FUN12" s="313"/>
      <c r="FUO12" s="313"/>
      <c r="FUP12" s="313"/>
      <c r="FUQ12" s="313"/>
      <c r="FUR12" s="313"/>
      <c r="FUS12" s="313"/>
      <c r="FUT12" s="313"/>
      <c r="FUU12" s="95"/>
      <c r="FUV12" s="313"/>
      <c r="FUW12" s="313"/>
      <c r="FUX12" s="313"/>
      <c r="FUY12" s="313"/>
      <c r="FUZ12" s="313"/>
      <c r="FVA12" s="313"/>
      <c r="FVB12" s="313"/>
      <c r="FVC12" s="95"/>
      <c r="FVD12" s="313"/>
      <c r="FVE12" s="313"/>
      <c r="FVF12" s="313"/>
      <c r="FVG12" s="313"/>
      <c r="FVH12" s="313"/>
      <c r="FVI12" s="313"/>
      <c r="FVJ12" s="313"/>
      <c r="FVK12" s="95"/>
      <c r="FVL12" s="313"/>
      <c r="FVM12" s="313"/>
      <c r="FVN12" s="313"/>
      <c r="FVO12" s="313"/>
      <c r="FVP12" s="313"/>
      <c r="FVQ12" s="313"/>
      <c r="FVR12" s="313"/>
      <c r="FVS12" s="95"/>
      <c r="FVT12" s="313"/>
      <c r="FVU12" s="313"/>
      <c r="FVV12" s="313"/>
      <c r="FVW12" s="313"/>
      <c r="FVX12" s="313"/>
      <c r="FVY12" s="313"/>
      <c r="FVZ12" s="313"/>
      <c r="FWA12" s="95"/>
      <c r="FWB12" s="313"/>
      <c r="FWC12" s="313"/>
      <c r="FWD12" s="313"/>
      <c r="FWE12" s="313"/>
      <c r="FWF12" s="313"/>
      <c r="FWG12" s="313"/>
      <c r="FWH12" s="313"/>
      <c r="FWI12" s="95"/>
      <c r="FWJ12" s="313"/>
      <c r="FWK12" s="313"/>
      <c r="FWL12" s="313"/>
      <c r="FWM12" s="313"/>
      <c r="FWN12" s="313"/>
      <c r="FWO12" s="313"/>
      <c r="FWP12" s="313"/>
      <c r="FWQ12" s="95"/>
      <c r="FWR12" s="313"/>
      <c r="FWS12" s="313"/>
      <c r="FWT12" s="313"/>
      <c r="FWU12" s="313"/>
      <c r="FWV12" s="313"/>
      <c r="FWW12" s="313"/>
      <c r="FWX12" s="313"/>
      <c r="FWY12" s="95"/>
      <c r="FWZ12" s="313"/>
      <c r="FXA12" s="313"/>
      <c r="FXB12" s="313"/>
      <c r="FXC12" s="313"/>
      <c r="FXD12" s="313"/>
      <c r="FXE12" s="313"/>
      <c r="FXF12" s="313"/>
      <c r="FXG12" s="95"/>
      <c r="FXH12" s="313"/>
      <c r="FXI12" s="313"/>
      <c r="FXJ12" s="313"/>
      <c r="FXK12" s="313"/>
      <c r="FXL12" s="313"/>
      <c r="FXM12" s="313"/>
      <c r="FXN12" s="313"/>
      <c r="FXO12" s="95"/>
      <c r="FXP12" s="313"/>
      <c r="FXQ12" s="313"/>
      <c r="FXR12" s="313"/>
      <c r="FXS12" s="313"/>
      <c r="FXT12" s="313"/>
      <c r="FXU12" s="313"/>
      <c r="FXV12" s="313"/>
      <c r="FXW12" s="95"/>
      <c r="FXX12" s="313"/>
      <c r="FXY12" s="313"/>
      <c r="FXZ12" s="313"/>
      <c r="FYA12" s="313"/>
      <c r="FYB12" s="313"/>
      <c r="FYC12" s="313"/>
      <c r="FYD12" s="313"/>
      <c r="FYE12" s="95"/>
      <c r="FYF12" s="313"/>
      <c r="FYG12" s="313"/>
      <c r="FYH12" s="313"/>
      <c r="FYI12" s="313"/>
      <c r="FYJ12" s="313"/>
      <c r="FYK12" s="313"/>
      <c r="FYL12" s="313"/>
      <c r="FYM12" s="95"/>
      <c r="FYN12" s="313"/>
      <c r="FYO12" s="313"/>
      <c r="FYP12" s="313"/>
      <c r="FYQ12" s="313"/>
      <c r="FYR12" s="313"/>
      <c r="FYS12" s="313"/>
      <c r="FYT12" s="313"/>
      <c r="FYU12" s="95"/>
      <c r="FYV12" s="313"/>
      <c r="FYW12" s="313"/>
      <c r="FYX12" s="313"/>
      <c r="FYY12" s="313"/>
      <c r="FYZ12" s="313"/>
      <c r="FZA12" s="313"/>
      <c r="FZB12" s="313"/>
      <c r="FZC12" s="95"/>
      <c r="FZD12" s="313"/>
      <c r="FZE12" s="313"/>
      <c r="FZF12" s="313"/>
      <c r="FZG12" s="313"/>
      <c r="FZH12" s="313"/>
      <c r="FZI12" s="313"/>
      <c r="FZJ12" s="313"/>
      <c r="FZK12" s="95"/>
      <c r="FZL12" s="313"/>
      <c r="FZM12" s="313"/>
      <c r="FZN12" s="313"/>
      <c r="FZO12" s="313"/>
      <c r="FZP12" s="313"/>
      <c r="FZQ12" s="313"/>
      <c r="FZR12" s="313"/>
      <c r="FZS12" s="95"/>
      <c r="FZT12" s="313"/>
      <c r="FZU12" s="313"/>
      <c r="FZV12" s="313"/>
      <c r="FZW12" s="313"/>
      <c r="FZX12" s="313"/>
      <c r="FZY12" s="313"/>
      <c r="FZZ12" s="313"/>
      <c r="GAA12" s="95"/>
      <c r="GAB12" s="313"/>
      <c r="GAC12" s="313"/>
      <c r="GAD12" s="313"/>
      <c r="GAE12" s="313"/>
      <c r="GAF12" s="313"/>
      <c r="GAG12" s="313"/>
      <c r="GAH12" s="313"/>
      <c r="GAI12" s="95"/>
      <c r="GAJ12" s="313"/>
      <c r="GAK12" s="313"/>
      <c r="GAL12" s="313"/>
      <c r="GAM12" s="313"/>
      <c r="GAN12" s="313"/>
      <c r="GAO12" s="313"/>
      <c r="GAP12" s="313"/>
      <c r="GAQ12" s="95"/>
      <c r="GAR12" s="313"/>
      <c r="GAS12" s="313"/>
      <c r="GAT12" s="313"/>
      <c r="GAU12" s="313"/>
      <c r="GAV12" s="313"/>
      <c r="GAW12" s="313"/>
      <c r="GAX12" s="313"/>
      <c r="GAY12" s="95"/>
      <c r="GAZ12" s="313"/>
      <c r="GBA12" s="313"/>
      <c r="GBB12" s="313"/>
      <c r="GBC12" s="313"/>
      <c r="GBD12" s="313"/>
      <c r="GBE12" s="313"/>
      <c r="GBF12" s="313"/>
      <c r="GBG12" s="95"/>
      <c r="GBH12" s="313"/>
      <c r="GBI12" s="313"/>
      <c r="GBJ12" s="313"/>
      <c r="GBK12" s="313"/>
      <c r="GBL12" s="313"/>
      <c r="GBM12" s="313"/>
      <c r="GBN12" s="313"/>
      <c r="GBO12" s="95"/>
      <c r="GBP12" s="313"/>
      <c r="GBQ12" s="313"/>
      <c r="GBR12" s="313"/>
      <c r="GBS12" s="313"/>
      <c r="GBT12" s="313"/>
      <c r="GBU12" s="313"/>
      <c r="GBV12" s="313"/>
      <c r="GBW12" s="95"/>
      <c r="GBX12" s="313"/>
      <c r="GBY12" s="313"/>
      <c r="GBZ12" s="313"/>
      <c r="GCA12" s="313"/>
      <c r="GCB12" s="313"/>
      <c r="GCC12" s="313"/>
      <c r="GCD12" s="313"/>
      <c r="GCE12" s="95"/>
      <c r="GCF12" s="313"/>
      <c r="GCG12" s="313"/>
      <c r="GCH12" s="313"/>
      <c r="GCI12" s="313"/>
      <c r="GCJ12" s="313"/>
      <c r="GCK12" s="313"/>
      <c r="GCL12" s="313"/>
      <c r="GCM12" s="95"/>
      <c r="GCN12" s="313"/>
      <c r="GCO12" s="313"/>
      <c r="GCP12" s="313"/>
      <c r="GCQ12" s="313"/>
      <c r="GCR12" s="313"/>
      <c r="GCS12" s="313"/>
      <c r="GCT12" s="313"/>
      <c r="GCU12" s="95"/>
      <c r="GCV12" s="313"/>
      <c r="GCW12" s="313"/>
      <c r="GCX12" s="313"/>
      <c r="GCY12" s="313"/>
      <c r="GCZ12" s="313"/>
      <c r="GDA12" s="313"/>
      <c r="GDB12" s="313"/>
      <c r="GDC12" s="95"/>
      <c r="GDD12" s="313"/>
      <c r="GDE12" s="313"/>
      <c r="GDF12" s="313"/>
      <c r="GDG12" s="313"/>
      <c r="GDH12" s="313"/>
      <c r="GDI12" s="313"/>
      <c r="GDJ12" s="313"/>
      <c r="GDK12" s="95"/>
      <c r="GDL12" s="313"/>
      <c r="GDM12" s="313"/>
      <c r="GDN12" s="313"/>
      <c r="GDO12" s="313"/>
      <c r="GDP12" s="313"/>
      <c r="GDQ12" s="313"/>
      <c r="GDR12" s="313"/>
      <c r="GDS12" s="95"/>
      <c r="GDT12" s="313"/>
      <c r="GDU12" s="313"/>
      <c r="GDV12" s="313"/>
      <c r="GDW12" s="313"/>
      <c r="GDX12" s="313"/>
      <c r="GDY12" s="313"/>
      <c r="GDZ12" s="313"/>
      <c r="GEA12" s="95"/>
      <c r="GEB12" s="313"/>
      <c r="GEC12" s="313"/>
      <c r="GED12" s="313"/>
      <c r="GEE12" s="313"/>
      <c r="GEF12" s="313"/>
      <c r="GEG12" s="313"/>
      <c r="GEH12" s="313"/>
      <c r="GEI12" s="95"/>
      <c r="GEJ12" s="313"/>
      <c r="GEK12" s="313"/>
      <c r="GEL12" s="313"/>
      <c r="GEM12" s="313"/>
      <c r="GEN12" s="313"/>
      <c r="GEO12" s="313"/>
      <c r="GEP12" s="313"/>
      <c r="GEQ12" s="95"/>
      <c r="GER12" s="313"/>
      <c r="GES12" s="313"/>
      <c r="GET12" s="313"/>
      <c r="GEU12" s="313"/>
      <c r="GEV12" s="313"/>
      <c r="GEW12" s="313"/>
      <c r="GEX12" s="313"/>
      <c r="GEY12" s="95"/>
      <c r="GEZ12" s="313"/>
      <c r="GFA12" s="313"/>
      <c r="GFB12" s="313"/>
      <c r="GFC12" s="313"/>
      <c r="GFD12" s="313"/>
      <c r="GFE12" s="313"/>
      <c r="GFF12" s="313"/>
      <c r="GFG12" s="95"/>
      <c r="GFH12" s="313"/>
      <c r="GFI12" s="313"/>
      <c r="GFJ12" s="313"/>
      <c r="GFK12" s="313"/>
      <c r="GFL12" s="313"/>
      <c r="GFM12" s="313"/>
      <c r="GFN12" s="313"/>
      <c r="GFO12" s="95"/>
      <c r="GFP12" s="313"/>
      <c r="GFQ12" s="313"/>
      <c r="GFR12" s="313"/>
      <c r="GFS12" s="313"/>
      <c r="GFT12" s="313"/>
      <c r="GFU12" s="313"/>
      <c r="GFV12" s="313"/>
      <c r="GFW12" s="95"/>
      <c r="GFX12" s="313"/>
      <c r="GFY12" s="313"/>
      <c r="GFZ12" s="313"/>
      <c r="GGA12" s="313"/>
      <c r="GGB12" s="313"/>
      <c r="GGC12" s="313"/>
      <c r="GGD12" s="313"/>
      <c r="GGE12" s="95"/>
      <c r="GGF12" s="313"/>
      <c r="GGG12" s="313"/>
      <c r="GGH12" s="313"/>
      <c r="GGI12" s="313"/>
      <c r="GGJ12" s="313"/>
      <c r="GGK12" s="313"/>
      <c r="GGL12" s="313"/>
      <c r="GGM12" s="95"/>
      <c r="GGN12" s="313"/>
      <c r="GGO12" s="313"/>
      <c r="GGP12" s="313"/>
      <c r="GGQ12" s="313"/>
      <c r="GGR12" s="313"/>
      <c r="GGS12" s="313"/>
      <c r="GGT12" s="313"/>
      <c r="GGU12" s="95"/>
      <c r="GGV12" s="313"/>
      <c r="GGW12" s="313"/>
      <c r="GGX12" s="313"/>
      <c r="GGY12" s="313"/>
      <c r="GGZ12" s="313"/>
      <c r="GHA12" s="313"/>
      <c r="GHB12" s="313"/>
      <c r="GHC12" s="95"/>
      <c r="GHD12" s="313"/>
      <c r="GHE12" s="313"/>
      <c r="GHF12" s="313"/>
      <c r="GHG12" s="313"/>
      <c r="GHH12" s="313"/>
      <c r="GHI12" s="313"/>
      <c r="GHJ12" s="313"/>
      <c r="GHK12" s="95"/>
      <c r="GHL12" s="313"/>
      <c r="GHM12" s="313"/>
      <c r="GHN12" s="313"/>
      <c r="GHO12" s="313"/>
      <c r="GHP12" s="313"/>
      <c r="GHQ12" s="313"/>
      <c r="GHR12" s="313"/>
      <c r="GHS12" s="95"/>
      <c r="GHT12" s="313"/>
      <c r="GHU12" s="313"/>
      <c r="GHV12" s="313"/>
      <c r="GHW12" s="313"/>
      <c r="GHX12" s="313"/>
      <c r="GHY12" s="313"/>
      <c r="GHZ12" s="313"/>
      <c r="GIA12" s="95"/>
      <c r="GIB12" s="313"/>
      <c r="GIC12" s="313"/>
      <c r="GID12" s="313"/>
      <c r="GIE12" s="313"/>
      <c r="GIF12" s="313"/>
      <c r="GIG12" s="313"/>
      <c r="GIH12" s="313"/>
      <c r="GII12" s="95"/>
      <c r="GIJ12" s="313"/>
      <c r="GIK12" s="313"/>
      <c r="GIL12" s="313"/>
      <c r="GIM12" s="313"/>
      <c r="GIN12" s="313"/>
      <c r="GIO12" s="313"/>
      <c r="GIP12" s="313"/>
      <c r="GIQ12" s="95"/>
      <c r="GIR12" s="313"/>
      <c r="GIS12" s="313"/>
      <c r="GIT12" s="313"/>
      <c r="GIU12" s="313"/>
      <c r="GIV12" s="313"/>
      <c r="GIW12" s="313"/>
      <c r="GIX12" s="313"/>
      <c r="GIY12" s="95"/>
      <c r="GIZ12" s="313"/>
      <c r="GJA12" s="313"/>
      <c r="GJB12" s="313"/>
      <c r="GJC12" s="313"/>
      <c r="GJD12" s="313"/>
      <c r="GJE12" s="313"/>
      <c r="GJF12" s="313"/>
      <c r="GJG12" s="95"/>
      <c r="GJH12" s="313"/>
      <c r="GJI12" s="313"/>
      <c r="GJJ12" s="313"/>
      <c r="GJK12" s="313"/>
      <c r="GJL12" s="313"/>
      <c r="GJM12" s="313"/>
      <c r="GJN12" s="313"/>
      <c r="GJO12" s="95"/>
      <c r="GJP12" s="313"/>
      <c r="GJQ12" s="313"/>
      <c r="GJR12" s="313"/>
      <c r="GJS12" s="313"/>
      <c r="GJT12" s="313"/>
      <c r="GJU12" s="313"/>
      <c r="GJV12" s="313"/>
      <c r="GJW12" s="95"/>
      <c r="GJX12" s="313"/>
      <c r="GJY12" s="313"/>
      <c r="GJZ12" s="313"/>
      <c r="GKA12" s="313"/>
      <c r="GKB12" s="313"/>
      <c r="GKC12" s="313"/>
      <c r="GKD12" s="313"/>
      <c r="GKE12" s="95"/>
      <c r="GKF12" s="313"/>
      <c r="GKG12" s="313"/>
      <c r="GKH12" s="313"/>
      <c r="GKI12" s="313"/>
      <c r="GKJ12" s="313"/>
      <c r="GKK12" s="313"/>
      <c r="GKL12" s="313"/>
      <c r="GKM12" s="95"/>
      <c r="GKN12" s="313"/>
      <c r="GKO12" s="313"/>
      <c r="GKP12" s="313"/>
      <c r="GKQ12" s="313"/>
      <c r="GKR12" s="313"/>
      <c r="GKS12" s="313"/>
      <c r="GKT12" s="313"/>
      <c r="GKU12" s="95"/>
      <c r="GKV12" s="313"/>
      <c r="GKW12" s="313"/>
      <c r="GKX12" s="313"/>
      <c r="GKY12" s="313"/>
      <c r="GKZ12" s="313"/>
      <c r="GLA12" s="313"/>
      <c r="GLB12" s="313"/>
      <c r="GLC12" s="95"/>
      <c r="GLD12" s="313"/>
      <c r="GLE12" s="313"/>
      <c r="GLF12" s="313"/>
      <c r="GLG12" s="313"/>
      <c r="GLH12" s="313"/>
      <c r="GLI12" s="313"/>
      <c r="GLJ12" s="313"/>
      <c r="GLK12" s="95"/>
      <c r="GLL12" s="313"/>
      <c r="GLM12" s="313"/>
      <c r="GLN12" s="313"/>
      <c r="GLO12" s="313"/>
      <c r="GLP12" s="313"/>
      <c r="GLQ12" s="313"/>
      <c r="GLR12" s="313"/>
      <c r="GLS12" s="95"/>
      <c r="GLT12" s="313"/>
      <c r="GLU12" s="313"/>
      <c r="GLV12" s="313"/>
      <c r="GLW12" s="313"/>
      <c r="GLX12" s="313"/>
      <c r="GLY12" s="313"/>
      <c r="GLZ12" s="313"/>
      <c r="GMA12" s="95"/>
      <c r="GMB12" s="313"/>
      <c r="GMC12" s="313"/>
      <c r="GMD12" s="313"/>
      <c r="GME12" s="313"/>
      <c r="GMF12" s="313"/>
      <c r="GMG12" s="313"/>
      <c r="GMH12" s="313"/>
      <c r="GMI12" s="95"/>
      <c r="GMJ12" s="313"/>
      <c r="GMK12" s="313"/>
      <c r="GML12" s="313"/>
      <c r="GMM12" s="313"/>
      <c r="GMN12" s="313"/>
      <c r="GMO12" s="313"/>
      <c r="GMP12" s="313"/>
      <c r="GMQ12" s="95"/>
      <c r="GMR12" s="313"/>
      <c r="GMS12" s="313"/>
      <c r="GMT12" s="313"/>
      <c r="GMU12" s="313"/>
      <c r="GMV12" s="313"/>
      <c r="GMW12" s="313"/>
      <c r="GMX12" s="313"/>
      <c r="GMY12" s="95"/>
      <c r="GMZ12" s="313"/>
      <c r="GNA12" s="313"/>
      <c r="GNB12" s="313"/>
      <c r="GNC12" s="313"/>
      <c r="GND12" s="313"/>
      <c r="GNE12" s="313"/>
      <c r="GNF12" s="313"/>
      <c r="GNG12" s="95"/>
      <c r="GNH12" s="313"/>
      <c r="GNI12" s="313"/>
      <c r="GNJ12" s="313"/>
      <c r="GNK12" s="313"/>
      <c r="GNL12" s="313"/>
      <c r="GNM12" s="313"/>
      <c r="GNN12" s="313"/>
      <c r="GNO12" s="95"/>
      <c r="GNP12" s="313"/>
      <c r="GNQ12" s="313"/>
      <c r="GNR12" s="313"/>
      <c r="GNS12" s="313"/>
      <c r="GNT12" s="313"/>
      <c r="GNU12" s="313"/>
      <c r="GNV12" s="313"/>
      <c r="GNW12" s="95"/>
      <c r="GNX12" s="313"/>
      <c r="GNY12" s="313"/>
      <c r="GNZ12" s="313"/>
      <c r="GOA12" s="313"/>
      <c r="GOB12" s="313"/>
      <c r="GOC12" s="313"/>
      <c r="GOD12" s="313"/>
      <c r="GOE12" s="95"/>
      <c r="GOF12" s="313"/>
      <c r="GOG12" s="313"/>
      <c r="GOH12" s="313"/>
      <c r="GOI12" s="313"/>
      <c r="GOJ12" s="313"/>
      <c r="GOK12" s="313"/>
      <c r="GOL12" s="313"/>
      <c r="GOM12" s="95"/>
      <c r="GON12" s="313"/>
      <c r="GOO12" s="313"/>
      <c r="GOP12" s="313"/>
      <c r="GOQ12" s="313"/>
      <c r="GOR12" s="313"/>
      <c r="GOS12" s="313"/>
      <c r="GOT12" s="313"/>
      <c r="GOU12" s="95"/>
      <c r="GOV12" s="313"/>
      <c r="GOW12" s="313"/>
      <c r="GOX12" s="313"/>
      <c r="GOY12" s="313"/>
      <c r="GOZ12" s="313"/>
      <c r="GPA12" s="313"/>
      <c r="GPB12" s="313"/>
      <c r="GPC12" s="95"/>
      <c r="GPD12" s="313"/>
      <c r="GPE12" s="313"/>
      <c r="GPF12" s="313"/>
      <c r="GPG12" s="313"/>
      <c r="GPH12" s="313"/>
      <c r="GPI12" s="313"/>
      <c r="GPJ12" s="313"/>
      <c r="GPK12" s="95"/>
      <c r="GPL12" s="313"/>
      <c r="GPM12" s="313"/>
      <c r="GPN12" s="313"/>
      <c r="GPO12" s="313"/>
      <c r="GPP12" s="313"/>
      <c r="GPQ12" s="313"/>
      <c r="GPR12" s="313"/>
      <c r="GPS12" s="95"/>
      <c r="GPT12" s="313"/>
      <c r="GPU12" s="313"/>
      <c r="GPV12" s="313"/>
      <c r="GPW12" s="313"/>
      <c r="GPX12" s="313"/>
      <c r="GPY12" s="313"/>
      <c r="GPZ12" s="313"/>
      <c r="GQA12" s="95"/>
      <c r="GQB12" s="313"/>
      <c r="GQC12" s="313"/>
      <c r="GQD12" s="313"/>
      <c r="GQE12" s="313"/>
      <c r="GQF12" s="313"/>
      <c r="GQG12" s="313"/>
      <c r="GQH12" s="313"/>
      <c r="GQI12" s="95"/>
      <c r="GQJ12" s="313"/>
      <c r="GQK12" s="313"/>
      <c r="GQL12" s="313"/>
      <c r="GQM12" s="313"/>
      <c r="GQN12" s="313"/>
      <c r="GQO12" s="313"/>
      <c r="GQP12" s="313"/>
      <c r="GQQ12" s="95"/>
      <c r="GQR12" s="313"/>
      <c r="GQS12" s="313"/>
      <c r="GQT12" s="313"/>
      <c r="GQU12" s="313"/>
      <c r="GQV12" s="313"/>
      <c r="GQW12" s="313"/>
      <c r="GQX12" s="313"/>
      <c r="GQY12" s="95"/>
      <c r="GQZ12" s="313"/>
      <c r="GRA12" s="313"/>
      <c r="GRB12" s="313"/>
      <c r="GRC12" s="313"/>
      <c r="GRD12" s="313"/>
      <c r="GRE12" s="313"/>
      <c r="GRF12" s="313"/>
      <c r="GRG12" s="95"/>
      <c r="GRH12" s="313"/>
      <c r="GRI12" s="313"/>
      <c r="GRJ12" s="313"/>
      <c r="GRK12" s="313"/>
      <c r="GRL12" s="313"/>
      <c r="GRM12" s="313"/>
      <c r="GRN12" s="313"/>
      <c r="GRO12" s="95"/>
      <c r="GRP12" s="313"/>
      <c r="GRQ12" s="313"/>
      <c r="GRR12" s="313"/>
      <c r="GRS12" s="313"/>
      <c r="GRT12" s="313"/>
      <c r="GRU12" s="313"/>
      <c r="GRV12" s="313"/>
      <c r="GRW12" s="95"/>
      <c r="GRX12" s="313"/>
      <c r="GRY12" s="313"/>
      <c r="GRZ12" s="313"/>
      <c r="GSA12" s="313"/>
      <c r="GSB12" s="313"/>
      <c r="GSC12" s="313"/>
      <c r="GSD12" s="313"/>
      <c r="GSE12" s="95"/>
      <c r="GSF12" s="313"/>
      <c r="GSG12" s="313"/>
      <c r="GSH12" s="313"/>
      <c r="GSI12" s="313"/>
      <c r="GSJ12" s="313"/>
      <c r="GSK12" s="313"/>
      <c r="GSL12" s="313"/>
      <c r="GSM12" s="95"/>
      <c r="GSN12" s="313"/>
      <c r="GSO12" s="313"/>
      <c r="GSP12" s="313"/>
      <c r="GSQ12" s="313"/>
      <c r="GSR12" s="313"/>
      <c r="GSS12" s="313"/>
      <c r="GST12" s="313"/>
      <c r="GSU12" s="95"/>
      <c r="GSV12" s="313"/>
      <c r="GSW12" s="313"/>
      <c r="GSX12" s="313"/>
      <c r="GSY12" s="313"/>
      <c r="GSZ12" s="313"/>
      <c r="GTA12" s="313"/>
      <c r="GTB12" s="313"/>
      <c r="GTC12" s="95"/>
      <c r="GTD12" s="313"/>
      <c r="GTE12" s="313"/>
      <c r="GTF12" s="313"/>
      <c r="GTG12" s="313"/>
      <c r="GTH12" s="313"/>
      <c r="GTI12" s="313"/>
      <c r="GTJ12" s="313"/>
      <c r="GTK12" s="95"/>
      <c r="GTL12" s="313"/>
      <c r="GTM12" s="313"/>
      <c r="GTN12" s="313"/>
      <c r="GTO12" s="313"/>
      <c r="GTP12" s="313"/>
      <c r="GTQ12" s="313"/>
      <c r="GTR12" s="313"/>
      <c r="GTS12" s="95"/>
      <c r="GTT12" s="313"/>
      <c r="GTU12" s="313"/>
      <c r="GTV12" s="313"/>
      <c r="GTW12" s="313"/>
      <c r="GTX12" s="313"/>
      <c r="GTY12" s="313"/>
      <c r="GTZ12" s="313"/>
      <c r="GUA12" s="95"/>
      <c r="GUB12" s="313"/>
      <c r="GUC12" s="313"/>
      <c r="GUD12" s="313"/>
      <c r="GUE12" s="313"/>
      <c r="GUF12" s="313"/>
      <c r="GUG12" s="313"/>
      <c r="GUH12" s="313"/>
      <c r="GUI12" s="95"/>
      <c r="GUJ12" s="313"/>
      <c r="GUK12" s="313"/>
      <c r="GUL12" s="313"/>
      <c r="GUM12" s="313"/>
      <c r="GUN12" s="313"/>
      <c r="GUO12" s="313"/>
      <c r="GUP12" s="313"/>
      <c r="GUQ12" s="95"/>
      <c r="GUR12" s="313"/>
      <c r="GUS12" s="313"/>
      <c r="GUT12" s="313"/>
      <c r="GUU12" s="313"/>
      <c r="GUV12" s="313"/>
      <c r="GUW12" s="313"/>
      <c r="GUX12" s="313"/>
      <c r="GUY12" s="95"/>
      <c r="GUZ12" s="313"/>
      <c r="GVA12" s="313"/>
      <c r="GVB12" s="313"/>
      <c r="GVC12" s="313"/>
      <c r="GVD12" s="313"/>
      <c r="GVE12" s="313"/>
      <c r="GVF12" s="313"/>
      <c r="GVG12" s="95"/>
      <c r="GVH12" s="313"/>
      <c r="GVI12" s="313"/>
      <c r="GVJ12" s="313"/>
      <c r="GVK12" s="313"/>
      <c r="GVL12" s="313"/>
      <c r="GVM12" s="313"/>
      <c r="GVN12" s="313"/>
      <c r="GVO12" s="95"/>
      <c r="GVP12" s="313"/>
      <c r="GVQ12" s="313"/>
      <c r="GVR12" s="313"/>
      <c r="GVS12" s="313"/>
      <c r="GVT12" s="313"/>
      <c r="GVU12" s="313"/>
      <c r="GVV12" s="313"/>
      <c r="GVW12" s="95"/>
      <c r="GVX12" s="313"/>
      <c r="GVY12" s="313"/>
      <c r="GVZ12" s="313"/>
      <c r="GWA12" s="313"/>
      <c r="GWB12" s="313"/>
      <c r="GWC12" s="313"/>
      <c r="GWD12" s="313"/>
      <c r="GWE12" s="95"/>
      <c r="GWF12" s="313"/>
      <c r="GWG12" s="313"/>
      <c r="GWH12" s="313"/>
      <c r="GWI12" s="313"/>
      <c r="GWJ12" s="313"/>
      <c r="GWK12" s="313"/>
      <c r="GWL12" s="313"/>
      <c r="GWM12" s="95"/>
      <c r="GWN12" s="313"/>
      <c r="GWO12" s="313"/>
      <c r="GWP12" s="313"/>
      <c r="GWQ12" s="313"/>
      <c r="GWR12" s="313"/>
      <c r="GWS12" s="313"/>
      <c r="GWT12" s="313"/>
      <c r="GWU12" s="95"/>
      <c r="GWV12" s="313"/>
      <c r="GWW12" s="313"/>
      <c r="GWX12" s="313"/>
      <c r="GWY12" s="313"/>
      <c r="GWZ12" s="313"/>
      <c r="GXA12" s="313"/>
      <c r="GXB12" s="313"/>
      <c r="GXC12" s="95"/>
      <c r="GXD12" s="313"/>
      <c r="GXE12" s="313"/>
      <c r="GXF12" s="313"/>
      <c r="GXG12" s="313"/>
      <c r="GXH12" s="313"/>
      <c r="GXI12" s="313"/>
      <c r="GXJ12" s="313"/>
      <c r="GXK12" s="95"/>
      <c r="GXL12" s="313"/>
      <c r="GXM12" s="313"/>
      <c r="GXN12" s="313"/>
      <c r="GXO12" s="313"/>
      <c r="GXP12" s="313"/>
      <c r="GXQ12" s="313"/>
      <c r="GXR12" s="313"/>
      <c r="GXS12" s="95"/>
      <c r="GXT12" s="313"/>
      <c r="GXU12" s="313"/>
      <c r="GXV12" s="313"/>
      <c r="GXW12" s="313"/>
      <c r="GXX12" s="313"/>
      <c r="GXY12" s="313"/>
      <c r="GXZ12" s="313"/>
      <c r="GYA12" s="95"/>
      <c r="GYB12" s="313"/>
      <c r="GYC12" s="313"/>
      <c r="GYD12" s="313"/>
      <c r="GYE12" s="313"/>
      <c r="GYF12" s="313"/>
      <c r="GYG12" s="313"/>
      <c r="GYH12" s="313"/>
      <c r="GYI12" s="95"/>
      <c r="GYJ12" s="313"/>
      <c r="GYK12" s="313"/>
      <c r="GYL12" s="313"/>
      <c r="GYM12" s="313"/>
      <c r="GYN12" s="313"/>
      <c r="GYO12" s="313"/>
      <c r="GYP12" s="313"/>
      <c r="GYQ12" s="95"/>
      <c r="GYR12" s="313"/>
      <c r="GYS12" s="313"/>
      <c r="GYT12" s="313"/>
      <c r="GYU12" s="313"/>
      <c r="GYV12" s="313"/>
      <c r="GYW12" s="313"/>
      <c r="GYX12" s="313"/>
      <c r="GYY12" s="95"/>
      <c r="GYZ12" s="313"/>
      <c r="GZA12" s="313"/>
      <c r="GZB12" s="313"/>
      <c r="GZC12" s="313"/>
      <c r="GZD12" s="313"/>
      <c r="GZE12" s="313"/>
      <c r="GZF12" s="313"/>
      <c r="GZG12" s="95"/>
      <c r="GZH12" s="313"/>
      <c r="GZI12" s="313"/>
      <c r="GZJ12" s="313"/>
      <c r="GZK12" s="313"/>
      <c r="GZL12" s="313"/>
      <c r="GZM12" s="313"/>
      <c r="GZN12" s="313"/>
      <c r="GZO12" s="95"/>
      <c r="GZP12" s="313"/>
      <c r="GZQ12" s="313"/>
      <c r="GZR12" s="313"/>
      <c r="GZS12" s="313"/>
      <c r="GZT12" s="313"/>
      <c r="GZU12" s="313"/>
      <c r="GZV12" s="313"/>
      <c r="GZW12" s="95"/>
      <c r="GZX12" s="313"/>
      <c r="GZY12" s="313"/>
      <c r="GZZ12" s="313"/>
      <c r="HAA12" s="313"/>
      <c r="HAB12" s="313"/>
      <c r="HAC12" s="313"/>
      <c r="HAD12" s="313"/>
      <c r="HAE12" s="95"/>
      <c r="HAF12" s="313"/>
      <c r="HAG12" s="313"/>
      <c r="HAH12" s="313"/>
      <c r="HAI12" s="313"/>
      <c r="HAJ12" s="313"/>
      <c r="HAK12" s="313"/>
      <c r="HAL12" s="313"/>
      <c r="HAM12" s="95"/>
      <c r="HAN12" s="313"/>
      <c r="HAO12" s="313"/>
      <c r="HAP12" s="313"/>
      <c r="HAQ12" s="313"/>
      <c r="HAR12" s="313"/>
      <c r="HAS12" s="313"/>
      <c r="HAT12" s="313"/>
      <c r="HAU12" s="95"/>
      <c r="HAV12" s="313"/>
      <c r="HAW12" s="313"/>
      <c r="HAX12" s="313"/>
      <c r="HAY12" s="313"/>
      <c r="HAZ12" s="313"/>
      <c r="HBA12" s="313"/>
      <c r="HBB12" s="313"/>
      <c r="HBC12" s="95"/>
      <c r="HBD12" s="313"/>
      <c r="HBE12" s="313"/>
      <c r="HBF12" s="313"/>
      <c r="HBG12" s="313"/>
      <c r="HBH12" s="313"/>
      <c r="HBI12" s="313"/>
      <c r="HBJ12" s="313"/>
      <c r="HBK12" s="95"/>
      <c r="HBL12" s="313"/>
      <c r="HBM12" s="313"/>
      <c r="HBN12" s="313"/>
      <c r="HBO12" s="313"/>
      <c r="HBP12" s="313"/>
      <c r="HBQ12" s="313"/>
      <c r="HBR12" s="313"/>
      <c r="HBS12" s="95"/>
      <c r="HBT12" s="313"/>
      <c r="HBU12" s="313"/>
      <c r="HBV12" s="313"/>
      <c r="HBW12" s="313"/>
      <c r="HBX12" s="313"/>
      <c r="HBY12" s="313"/>
      <c r="HBZ12" s="313"/>
      <c r="HCA12" s="95"/>
      <c r="HCB12" s="313"/>
      <c r="HCC12" s="313"/>
      <c r="HCD12" s="313"/>
      <c r="HCE12" s="313"/>
      <c r="HCF12" s="313"/>
      <c r="HCG12" s="313"/>
      <c r="HCH12" s="313"/>
      <c r="HCI12" s="95"/>
      <c r="HCJ12" s="313"/>
      <c r="HCK12" s="313"/>
      <c r="HCL12" s="313"/>
      <c r="HCM12" s="313"/>
      <c r="HCN12" s="313"/>
      <c r="HCO12" s="313"/>
      <c r="HCP12" s="313"/>
      <c r="HCQ12" s="95"/>
      <c r="HCR12" s="313"/>
      <c r="HCS12" s="313"/>
      <c r="HCT12" s="313"/>
      <c r="HCU12" s="313"/>
      <c r="HCV12" s="313"/>
      <c r="HCW12" s="313"/>
      <c r="HCX12" s="313"/>
      <c r="HCY12" s="95"/>
      <c r="HCZ12" s="313"/>
      <c r="HDA12" s="313"/>
      <c r="HDB12" s="313"/>
      <c r="HDC12" s="313"/>
      <c r="HDD12" s="313"/>
      <c r="HDE12" s="313"/>
      <c r="HDF12" s="313"/>
      <c r="HDG12" s="95"/>
      <c r="HDH12" s="313"/>
      <c r="HDI12" s="313"/>
      <c r="HDJ12" s="313"/>
      <c r="HDK12" s="313"/>
      <c r="HDL12" s="313"/>
      <c r="HDM12" s="313"/>
      <c r="HDN12" s="313"/>
      <c r="HDO12" s="95"/>
      <c r="HDP12" s="313"/>
      <c r="HDQ12" s="313"/>
      <c r="HDR12" s="313"/>
      <c r="HDS12" s="313"/>
      <c r="HDT12" s="313"/>
      <c r="HDU12" s="313"/>
      <c r="HDV12" s="313"/>
      <c r="HDW12" s="95"/>
      <c r="HDX12" s="313"/>
      <c r="HDY12" s="313"/>
      <c r="HDZ12" s="313"/>
      <c r="HEA12" s="313"/>
      <c r="HEB12" s="313"/>
      <c r="HEC12" s="313"/>
      <c r="HED12" s="313"/>
      <c r="HEE12" s="95"/>
      <c r="HEF12" s="313"/>
      <c r="HEG12" s="313"/>
      <c r="HEH12" s="313"/>
      <c r="HEI12" s="313"/>
      <c r="HEJ12" s="313"/>
      <c r="HEK12" s="313"/>
      <c r="HEL12" s="313"/>
      <c r="HEM12" s="95"/>
      <c r="HEN12" s="313"/>
      <c r="HEO12" s="313"/>
      <c r="HEP12" s="313"/>
      <c r="HEQ12" s="313"/>
      <c r="HER12" s="313"/>
      <c r="HES12" s="313"/>
      <c r="HET12" s="313"/>
      <c r="HEU12" s="95"/>
      <c r="HEV12" s="313"/>
      <c r="HEW12" s="313"/>
      <c r="HEX12" s="313"/>
      <c r="HEY12" s="313"/>
      <c r="HEZ12" s="313"/>
      <c r="HFA12" s="313"/>
      <c r="HFB12" s="313"/>
      <c r="HFC12" s="95"/>
      <c r="HFD12" s="313"/>
      <c r="HFE12" s="313"/>
      <c r="HFF12" s="313"/>
      <c r="HFG12" s="313"/>
      <c r="HFH12" s="313"/>
      <c r="HFI12" s="313"/>
      <c r="HFJ12" s="313"/>
      <c r="HFK12" s="95"/>
      <c r="HFL12" s="313"/>
      <c r="HFM12" s="313"/>
      <c r="HFN12" s="313"/>
      <c r="HFO12" s="313"/>
      <c r="HFP12" s="313"/>
      <c r="HFQ12" s="313"/>
      <c r="HFR12" s="313"/>
      <c r="HFS12" s="95"/>
      <c r="HFT12" s="313"/>
      <c r="HFU12" s="313"/>
      <c r="HFV12" s="313"/>
      <c r="HFW12" s="313"/>
      <c r="HFX12" s="313"/>
      <c r="HFY12" s="313"/>
      <c r="HFZ12" s="313"/>
      <c r="HGA12" s="95"/>
      <c r="HGB12" s="313"/>
      <c r="HGC12" s="313"/>
      <c r="HGD12" s="313"/>
      <c r="HGE12" s="313"/>
      <c r="HGF12" s="313"/>
      <c r="HGG12" s="313"/>
      <c r="HGH12" s="313"/>
      <c r="HGI12" s="95"/>
      <c r="HGJ12" s="313"/>
      <c r="HGK12" s="313"/>
      <c r="HGL12" s="313"/>
      <c r="HGM12" s="313"/>
      <c r="HGN12" s="313"/>
      <c r="HGO12" s="313"/>
      <c r="HGP12" s="313"/>
      <c r="HGQ12" s="95"/>
      <c r="HGR12" s="313"/>
      <c r="HGS12" s="313"/>
      <c r="HGT12" s="313"/>
      <c r="HGU12" s="313"/>
      <c r="HGV12" s="313"/>
      <c r="HGW12" s="313"/>
      <c r="HGX12" s="313"/>
      <c r="HGY12" s="95"/>
      <c r="HGZ12" s="313"/>
      <c r="HHA12" s="313"/>
      <c r="HHB12" s="313"/>
      <c r="HHC12" s="313"/>
      <c r="HHD12" s="313"/>
      <c r="HHE12" s="313"/>
      <c r="HHF12" s="313"/>
      <c r="HHG12" s="95"/>
      <c r="HHH12" s="313"/>
      <c r="HHI12" s="313"/>
      <c r="HHJ12" s="313"/>
      <c r="HHK12" s="313"/>
      <c r="HHL12" s="313"/>
      <c r="HHM12" s="313"/>
      <c r="HHN12" s="313"/>
      <c r="HHO12" s="95"/>
      <c r="HHP12" s="313"/>
      <c r="HHQ12" s="313"/>
      <c r="HHR12" s="313"/>
      <c r="HHS12" s="313"/>
      <c r="HHT12" s="313"/>
      <c r="HHU12" s="313"/>
      <c r="HHV12" s="313"/>
      <c r="HHW12" s="95"/>
      <c r="HHX12" s="313"/>
      <c r="HHY12" s="313"/>
      <c r="HHZ12" s="313"/>
      <c r="HIA12" s="313"/>
      <c r="HIB12" s="313"/>
      <c r="HIC12" s="313"/>
      <c r="HID12" s="313"/>
      <c r="HIE12" s="95"/>
      <c r="HIF12" s="313"/>
      <c r="HIG12" s="313"/>
      <c r="HIH12" s="313"/>
      <c r="HII12" s="313"/>
      <c r="HIJ12" s="313"/>
      <c r="HIK12" s="313"/>
      <c r="HIL12" s="313"/>
      <c r="HIM12" s="95"/>
      <c r="HIN12" s="313"/>
      <c r="HIO12" s="313"/>
      <c r="HIP12" s="313"/>
      <c r="HIQ12" s="313"/>
      <c r="HIR12" s="313"/>
      <c r="HIS12" s="313"/>
      <c r="HIT12" s="313"/>
      <c r="HIU12" s="95"/>
      <c r="HIV12" s="313"/>
      <c r="HIW12" s="313"/>
      <c r="HIX12" s="313"/>
      <c r="HIY12" s="313"/>
      <c r="HIZ12" s="313"/>
      <c r="HJA12" s="313"/>
      <c r="HJB12" s="313"/>
      <c r="HJC12" s="95"/>
      <c r="HJD12" s="313"/>
      <c r="HJE12" s="313"/>
      <c r="HJF12" s="313"/>
      <c r="HJG12" s="313"/>
      <c r="HJH12" s="313"/>
      <c r="HJI12" s="313"/>
      <c r="HJJ12" s="313"/>
      <c r="HJK12" s="95"/>
      <c r="HJL12" s="313"/>
      <c r="HJM12" s="313"/>
      <c r="HJN12" s="313"/>
      <c r="HJO12" s="313"/>
      <c r="HJP12" s="313"/>
      <c r="HJQ12" s="313"/>
      <c r="HJR12" s="313"/>
      <c r="HJS12" s="95"/>
      <c r="HJT12" s="313"/>
      <c r="HJU12" s="313"/>
      <c r="HJV12" s="313"/>
      <c r="HJW12" s="313"/>
      <c r="HJX12" s="313"/>
      <c r="HJY12" s="313"/>
      <c r="HJZ12" s="313"/>
      <c r="HKA12" s="95"/>
      <c r="HKB12" s="313"/>
      <c r="HKC12" s="313"/>
      <c r="HKD12" s="313"/>
      <c r="HKE12" s="313"/>
      <c r="HKF12" s="313"/>
      <c r="HKG12" s="313"/>
      <c r="HKH12" s="313"/>
      <c r="HKI12" s="95"/>
      <c r="HKJ12" s="313"/>
      <c r="HKK12" s="313"/>
      <c r="HKL12" s="313"/>
      <c r="HKM12" s="313"/>
      <c r="HKN12" s="313"/>
      <c r="HKO12" s="313"/>
      <c r="HKP12" s="313"/>
      <c r="HKQ12" s="95"/>
      <c r="HKR12" s="313"/>
      <c r="HKS12" s="313"/>
      <c r="HKT12" s="313"/>
      <c r="HKU12" s="313"/>
      <c r="HKV12" s="313"/>
      <c r="HKW12" s="313"/>
      <c r="HKX12" s="313"/>
      <c r="HKY12" s="95"/>
      <c r="HKZ12" s="313"/>
      <c r="HLA12" s="313"/>
      <c r="HLB12" s="313"/>
      <c r="HLC12" s="313"/>
      <c r="HLD12" s="313"/>
      <c r="HLE12" s="313"/>
      <c r="HLF12" s="313"/>
      <c r="HLG12" s="95"/>
      <c r="HLH12" s="313"/>
      <c r="HLI12" s="313"/>
      <c r="HLJ12" s="313"/>
      <c r="HLK12" s="313"/>
      <c r="HLL12" s="313"/>
      <c r="HLM12" s="313"/>
      <c r="HLN12" s="313"/>
      <c r="HLO12" s="95"/>
      <c r="HLP12" s="313"/>
      <c r="HLQ12" s="313"/>
      <c r="HLR12" s="313"/>
      <c r="HLS12" s="313"/>
      <c r="HLT12" s="313"/>
      <c r="HLU12" s="313"/>
      <c r="HLV12" s="313"/>
      <c r="HLW12" s="95"/>
      <c r="HLX12" s="313"/>
      <c r="HLY12" s="313"/>
      <c r="HLZ12" s="313"/>
      <c r="HMA12" s="313"/>
      <c r="HMB12" s="313"/>
      <c r="HMC12" s="313"/>
      <c r="HMD12" s="313"/>
      <c r="HME12" s="95"/>
      <c r="HMF12" s="313"/>
      <c r="HMG12" s="313"/>
      <c r="HMH12" s="313"/>
      <c r="HMI12" s="313"/>
      <c r="HMJ12" s="313"/>
      <c r="HMK12" s="313"/>
      <c r="HML12" s="313"/>
      <c r="HMM12" s="95"/>
      <c r="HMN12" s="313"/>
      <c r="HMO12" s="313"/>
      <c r="HMP12" s="313"/>
      <c r="HMQ12" s="313"/>
      <c r="HMR12" s="313"/>
      <c r="HMS12" s="313"/>
      <c r="HMT12" s="313"/>
      <c r="HMU12" s="95"/>
      <c r="HMV12" s="313"/>
      <c r="HMW12" s="313"/>
      <c r="HMX12" s="313"/>
      <c r="HMY12" s="313"/>
      <c r="HMZ12" s="313"/>
      <c r="HNA12" s="313"/>
      <c r="HNB12" s="313"/>
      <c r="HNC12" s="95"/>
      <c r="HND12" s="313"/>
      <c r="HNE12" s="313"/>
      <c r="HNF12" s="313"/>
      <c r="HNG12" s="313"/>
      <c r="HNH12" s="313"/>
      <c r="HNI12" s="313"/>
      <c r="HNJ12" s="313"/>
      <c r="HNK12" s="95"/>
      <c r="HNL12" s="313"/>
      <c r="HNM12" s="313"/>
      <c r="HNN12" s="313"/>
      <c r="HNO12" s="313"/>
      <c r="HNP12" s="313"/>
      <c r="HNQ12" s="313"/>
      <c r="HNR12" s="313"/>
      <c r="HNS12" s="95"/>
      <c r="HNT12" s="313"/>
      <c r="HNU12" s="313"/>
      <c r="HNV12" s="313"/>
      <c r="HNW12" s="313"/>
      <c r="HNX12" s="313"/>
      <c r="HNY12" s="313"/>
      <c r="HNZ12" s="313"/>
      <c r="HOA12" s="95"/>
      <c r="HOB12" s="313"/>
      <c r="HOC12" s="313"/>
      <c r="HOD12" s="313"/>
      <c r="HOE12" s="313"/>
      <c r="HOF12" s="313"/>
      <c r="HOG12" s="313"/>
      <c r="HOH12" s="313"/>
      <c r="HOI12" s="95"/>
      <c r="HOJ12" s="313"/>
      <c r="HOK12" s="313"/>
      <c r="HOL12" s="313"/>
      <c r="HOM12" s="313"/>
      <c r="HON12" s="313"/>
      <c r="HOO12" s="313"/>
      <c r="HOP12" s="313"/>
      <c r="HOQ12" s="95"/>
      <c r="HOR12" s="313"/>
      <c r="HOS12" s="313"/>
      <c r="HOT12" s="313"/>
      <c r="HOU12" s="313"/>
      <c r="HOV12" s="313"/>
      <c r="HOW12" s="313"/>
      <c r="HOX12" s="313"/>
      <c r="HOY12" s="95"/>
      <c r="HOZ12" s="313"/>
      <c r="HPA12" s="313"/>
      <c r="HPB12" s="313"/>
      <c r="HPC12" s="313"/>
      <c r="HPD12" s="313"/>
      <c r="HPE12" s="313"/>
      <c r="HPF12" s="313"/>
      <c r="HPG12" s="95"/>
      <c r="HPH12" s="313"/>
      <c r="HPI12" s="313"/>
      <c r="HPJ12" s="313"/>
      <c r="HPK12" s="313"/>
      <c r="HPL12" s="313"/>
      <c r="HPM12" s="313"/>
      <c r="HPN12" s="313"/>
      <c r="HPO12" s="95"/>
      <c r="HPP12" s="313"/>
      <c r="HPQ12" s="313"/>
      <c r="HPR12" s="313"/>
      <c r="HPS12" s="313"/>
      <c r="HPT12" s="313"/>
      <c r="HPU12" s="313"/>
      <c r="HPV12" s="313"/>
      <c r="HPW12" s="95"/>
      <c r="HPX12" s="313"/>
      <c r="HPY12" s="313"/>
      <c r="HPZ12" s="313"/>
      <c r="HQA12" s="313"/>
      <c r="HQB12" s="313"/>
      <c r="HQC12" s="313"/>
      <c r="HQD12" s="313"/>
      <c r="HQE12" s="95"/>
      <c r="HQF12" s="313"/>
      <c r="HQG12" s="313"/>
      <c r="HQH12" s="313"/>
      <c r="HQI12" s="313"/>
      <c r="HQJ12" s="313"/>
      <c r="HQK12" s="313"/>
      <c r="HQL12" s="313"/>
      <c r="HQM12" s="95"/>
      <c r="HQN12" s="313"/>
      <c r="HQO12" s="313"/>
      <c r="HQP12" s="313"/>
      <c r="HQQ12" s="313"/>
      <c r="HQR12" s="313"/>
      <c r="HQS12" s="313"/>
      <c r="HQT12" s="313"/>
      <c r="HQU12" s="95"/>
      <c r="HQV12" s="313"/>
      <c r="HQW12" s="313"/>
      <c r="HQX12" s="313"/>
      <c r="HQY12" s="313"/>
      <c r="HQZ12" s="313"/>
      <c r="HRA12" s="313"/>
      <c r="HRB12" s="313"/>
      <c r="HRC12" s="95"/>
      <c r="HRD12" s="313"/>
      <c r="HRE12" s="313"/>
      <c r="HRF12" s="313"/>
      <c r="HRG12" s="313"/>
      <c r="HRH12" s="313"/>
      <c r="HRI12" s="313"/>
      <c r="HRJ12" s="313"/>
      <c r="HRK12" s="95"/>
      <c r="HRL12" s="313"/>
      <c r="HRM12" s="313"/>
      <c r="HRN12" s="313"/>
      <c r="HRO12" s="313"/>
      <c r="HRP12" s="313"/>
      <c r="HRQ12" s="313"/>
      <c r="HRR12" s="313"/>
      <c r="HRS12" s="95"/>
      <c r="HRT12" s="313"/>
      <c r="HRU12" s="313"/>
      <c r="HRV12" s="313"/>
      <c r="HRW12" s="313"/>
      <c r="HRX12" s="313"/>
      <c r="HRY12" s="313"/>
      <c r="HRZ12" s="313"/>
      <c r="HSA12" s="95"/>
      <c r="HSB12" s="313"/>
      <c r="HSC12" s="313"/>
      <c r="HSD12" s="313"/>
      <c r="HSE12" s="313"/>
      <c r="HSF12" s="313"/>
      <c r="HSG12" s="313"/>
      <c r="HSH12" s="313"/>
      <c r="HSI12" s="95"/>
      <c r="HSJ12" s="313"/>
      <c r="HSK12" s="313"/>
      <c r="HSL12" s="313"/>
      <c r="HSM12" s="313"/>
      <c r="HSN12" s="313"/>
      <c r="HSO12" s="313"/>
      <c r="HSP12" s="313"/>
      <c r="HSQ12" s="95"/>
      <c r="HSR12" s="313"/>
      <c r="HSS12" s="313"/>
      <c r="HST12" s="313"/>
      <c r="HSU12" s="313"/>
      <c r="HSV12" s="313"/>
      <c r="HSW12" s="313"/>
      <c r="HSX12" s="313"/>
      <c r="HSY12" s="95"/>
      <c r="HSZ12" s="313"/>
      <c r="HTA12" s="313"/>
      <c r="HTB12" s="313"/>
      <c r="HTC12" s="313"/>
      <c r="HTD12" s="313"/>
      <c r="HTE12" s="313"/>
      <c r="HTF12" s="313"/>
      <c r="HTG12" s="95"/>
      <c r="HTH12" s="313"/>
      <c r="HTI12" s="313"/>
      <c r="HTJ12" s="313"/>
      <c r="HTK12" s="313"/>
      <c r="HTL12" s="313"/>
      <c r="HTM12" s="313"/>
      <c r="HTN12" s="313"/>
      <c r="HTO12" s="95"/>
      <c r="HTP12" s="313"/>
      <c r="HTQ12" s="313"/>
      <c r="HTR12" s="313"/>
      <c r="HTS12" s="313"/>
      <c r="HTT12" s="313"/>
      <c r="HTU12" s="313"/>
      <c r="HTV12" s="313"/>
      <c r="HTW12" s="95"/>
      <c r="HTX12" s="313"/>
      <c r="HTY12" s="313"/>
      <c r="HTZ12" s="313"/>
      <c r="HUA12" s="313"/>
      <c r="HUB12" s="313"/>
      <c r="HUC12" s="313"/>
      <c r="HUD12" s="313"/>
      <c r="HUE12" s="95"/>
      <c r="HUF12" s="313"/>
      <c r="HUG12" s="313"/>
      <c r="HUH12" s="313"/>
      <c r="HUI12" s="313"/>
      <c r="HUJ12" s="313"/>
      <c r="HUK12" s="313"/>
      <c r="HUL12" s="313"/>
      <c r="HUM12" s="95"/>
      <c r="HUN12" s="313"/>
      <c r="HUO12" s="313"/>
      <c r="HUP12" s="313"/>
      <c r="HUQ12" s="313"/>
      <c r="HUR12" s="313"/>
      <c r="HUS12" s="313"/>
      <c r="HUT12" s="313"/>
      <c r="HUU12" s="95"/>
      <c r="HUV12" s="313"/>
      <c r="HUW12" s="313"/>
      <c r="HUX12" s="313"/>
      <c r="HUY12" s="313"/>
      <c r="HUZ12" s="313"/>
      <c r="HVA12" s="313"/>
      <c r="HVB12" s="313"/>
      <c r="HVC12" s="95"/>
      <c r="HVD12" s="313"/>
      <c r="HVE12" s="313"/>
      <c r="HVF12" s="313"/>
      <c r="HVG12" s="313"/>
      <c r="HVH12" s="313"/>
      <c r="HVI12" s="313"/>
      <c r="HVJ12" s="313"/>
      <c r="HVK12" s="95"/>
      <c r="HVL12" s="313"/>
      <c r="HVM12" s="313"/>
      <c r="HVN12" s="313"/>
      <c r="HVO12" s="313"/>
      <c r="HVP12" s="313"/>
      <c r="HVQ12" s="313"/>
      <c r="HVR12" s="313"/>
      <c r="HVS12" s="95"/>
      <c r="HVT12" s="313"/>
      <c r="HVU12" s="313"/>
      <c r="HVV12" s="313"/>
      <c r="HVW12" s="313"/>
      <c r="HVX12" s="313"/>
      <c r="HVY12" s="313"/>
      <c r="HVZ12" s="313"/>
      <c r="HWA12" s="95"/>
      <c r="HWB12" s="313"/>
      <c r="HWC12" s="313"/>
      <c r="HWD12" s="313"/>
      <c r="HWE12" s="313"/>
      <c r="HWF12" s="313"/>
      <c r="HWG12" s="313"/>
      <c r="HWH12" s="313"/>
      <c r="HWI12" s="95"/>
      <c r="HWJ12" s="313"/>
      <c r="HWK12" s="313"/>
      <c r="HWL12" s="313"/>
      <c r="HWM12" s="313"/>
      <c r="HWN12" s="313"/>
      <c r="HWO12" s="313"/>
      <c r="HWP12" s="313"/>
      <c r="HWQ12" s="95"/>
      <c r="HWR12" s="313"/>
      <c r="HWS12" s="313"/>
      <c r="HWT12" s="313"/>
      <c r="HWU12" s="313"/>
      <c r="HWV12" s="313"/>
      <c r="HWW12" s="313"/>
      <c r="HWX12" s="313"/>
      <c r="HWY12" s="95"/>
      <c r="HWZ12" s="313"/>
      <c r="HXA12" s="313"/>
      <c r="HXB12" s="313"/>
      <c r="HXC12" s="313"/>
      <c r="HXD12" s="313"/>
      <c r="HXE12" s="313"/>
      <c r="HXF12" s="313"/>
      <c r="HXG12" s="95"/>
      <c r="HXH12" s="313"/>
      <c r="HXI12" s="313"/>
      <c r="HXJ12" s="313"/>
      <c r="HXK12" s="313"/>
      <c r="HXL12" s="313"/>
      <c r="HXM12" s="313"/>
      <c r="HXN12" s="313"/>
      <c r="HXO12" s="95"/>
      <c r="HXP12" s="313"/>
      <c r="HXQ12" s="313"/>
      <c r="HXR12" s="313"/>
      <c r="HXS12" s="313"/>
      <c r="HXT12" s="313"/>
      <c r="HXU12" s="313"/>
      <c r="HXV12" s="313"/>
      <c r="HXW12" s="95"/>
      <c r="HXX12" s="313"/>
      <c r="HXY12" s="313"/>
      <c r="HXZ12" s="313"/>
      <c r="HYA12" s="313"/>
      <c r="HYB12" s="313"/>
      <c r="HYC12" s="313"/>
      <c r="HYD12" s="313"/>
      <c r="HYE12" s="95"/>
      <c r="HYF12" s="313"/>
      <c r="HYG12" s="313"/>
      <c r="HYH12" s="313"/>
      <c r="HYI12" s="313"/>
      <c r="HYJ12" s="313"/>
      <c r="HYK12" s="313"/>
      <c r="HYL12" s="313"/>
      <c r="HYM12" s="95"/>
      <c r="HYN12" s="313"/>
      <c r="HYO12" s="313"/>
      <c r="HYP12" s="313"/>
      <c r="HYQ12" s="313"/>
      <c r="HYR12" s="313"/>
      <c r="HYS12" s="313"/>
      <c r="HYT12" s="313"/>
      <c r="HYU12" s="95"/>
      <c r="HYV12" s="313"/>
      <c r="HYW12" s="313"/>
      <c r="HYX12" s="313"/>
      <c r="HYY12" s="313"/>
      <c r="HYZ12" s="313"/>
      <c r="HZA12" s="313"/>
      <c r="HZB12" s="313"/>
      <c r="HZC12" s="95"/>
      <c r="HZD12" s="313"/>
      <c r="HZE12" s="313"/>
      <c r="HZF12" s="313"/>
      <c r="HZG12" s="313"/>
      <c r="HZH12" s="313"/>
      <c r="HZI12" s="313"/>
      <c r="HZJ12" s="313"/>
      <c r="HZK12" s="95"/>
      <c r="HZL12" s="313"/>
      <c r="HZM12" s="313"/>
      <c r="HZN12" s="313"/>
      <c r="HZO12" s="313"/>
      <c r="HZP12" s="313"/>
      <c r="HZQ12" s="313"/>
      <c r="HZR12" s="313"/>
      <c r="HZS12" s="95"/>
      <c r="HZT12" s="313"/>
      <c r="HZU12" s="313"/>
      <c r="HZV12" s="313"/>
      <c r="HZW12" s="313"/>
      <c r="HZX12" s="313"/>
      <c r="HZY12" s="313"/>
      <c r="HZZ12" s="313"/>
      <c r="IAA12" s="95"/>
      <c r="IAB12" s="313"/>
      <c r="IAC12" s="313"/>
      <c r="IAD12" s="313"/>
      <c r="IAE12" s="313"/>
      <c r="IAF12" s="313"/>
      <c r="IAG12" s="313"/>
      <c r="IAH12" s="313"/>
      <c r="IAI12" s="95"/>
      <c r="IAJ12" s="313"/>
      <c r="IAK12" s="313"/>
      <c r="IAL12" s="313"/>
      <c r="IAM12" s="313"/>
      <c r="IAN12" s="313"/>
      <c r="IAO12" s="313"/>
      <c r="IAP12" s="313"/>
      <c r="IAQ12" s="95"/>
      <c r="IAR12" s="313"/>
      <c r="IAS12" s="313"/>
      <c r="IAT12" s="313"/>
      <c r="IAU12" s="313"/>
      <c r="IAV12" s="313"/>
      <c r="IAW12" s="313"/>
      <c r="IAX12" s="313"/>
      <c r="IAY12" s="95"/>
      <c r="IAZ12" s="313"/>
      <c r="IBA12" s="313"/>
      <c r="IBB12" s="313"/>
      <c r="IBC12" s="313"/>
      <c r="IBD12" s="313"/>
      <c r="IBE12" s="313"/>
      <c r="IBF12" s="313"/>
      <c r="IBG12" s="95"/>
      <c r="IBH12" s="313"/>
      <c r="IBI12" s="313"/>
      <c r="IBJ12" s="313"/>
      <c r="IBK12" s="313"/>
      <c r="IBL12" s="313"/>
      <c r="IBM12" s="313"/>
      <c r="IBN12" s="313"/>
      <c r="IBO12" s="95"/>
      <c r="IBP12" s="313"/>
      <c r="IBQ12" s="313"/>
      <c r="IBR12" s="313"/>
      <c r="IBS12" s="313"/>
      <c r="IBT12" s="313"/>
      <c r="IBU12" s="313"/>
      <c r="IBV12" s="313"/>
      <c r="IBW12" s="95"/>
      <c r="IBX12" s="313"/>
      <c r="IBY12" s="313"/>
      <c r="IBZ12" s="313"/>
      <c r="ICA12" s="313"/>
      <c r="ICB12" s="313"/>
      <c r="ICC12" s="313"/>
      <c r="ICD12" s="313"/>
      <c r="ICE12" s="95"/>
      <c r="ICF12" s="313"/>
      <c r="ICG12" s="313"/>
      <c r="ICH12" s="313"/>
      <c r="ICI12" s="313"/>
      <c r="ICJ12" s="313"/>
      <c r="ICK12" s="313"/>
      <c r="ICL12" s="313"/>
      <c r="ICM12" s="95"/>
      <c r="ICN12" s="313"/>
      <c r="ICO12" s="313"/>
      <c r="ICP12" s="313"/>
      <c r="ICQ12" s="313"/>
      <c r="ICR12" s="313"/>
      <c r="ICS12" s="313"/>
      <c r="ICT12" s="313"/>
      <c r="ICU12" s="95"/>
      <c r="ICV12" s="313"/>
      <c r="ICW12" s="313"/>
      <c r="ICX12" s="313"/>
      <c r="ICY12" s="313"/>
      <c r="ICZ12" s="313"/>
      <c r="IDA12" s="313"/>
      <c r="IDB12" s="313"/>
      <c r="IDC12" s="95"/>
      <c r="IDD12" s="313"/>
      <c r="IDE12" s="313"/>
      <c r="IDF12" s="313"/>
      <c r="IDG12" s="313"/>
      <c r="IDH12" s="313"/>
      <c r="IDI12" s="313"/>
      <c r="IDJ12" s="313"/>
      <c r="IDK12" s="95"/>
      <c r="IDL12" s="313"/>
      <c r="IDM12" s="313"/>
      <c r="IDN12" s="313"/>
      <c r="IDO12" s="313"/>
      <c r="IDP12" s="313"/>
      <c r="IDQ12" s="313"/>
      <c r="IDR12" s="313"/>
      <c r="IDS12" s="95"/>
      <c r="IDT12" s="313"/>
      <c r="IDU12" s="313"/>
      <c r="IDV12" s="313"/>
      <c r="IDW12" s="313"/>
      <c r="IDX12" s="313"/>
      <c r="IDY12" s="313"/>
      <c r="IDZ12" s="313"/>
      <c r="IEA12" s="95"/>
      <c r="IEB12" s="313"/>
      <c r="IEC12" s="313"/>
      <c r="IED12" s="313"/>
      <c r="IEE12" s="313"/>
      <c r="IEF12" s="313"/>
      <c r="IEG12" s="313"/>
      <c r="IEH12" s="313"/>
      <c r="IEI12" s="95"/>
      <c r="IEJ12" s="313"/>
      <c r="IEK12" s="313"/>
      <c r="IEL12" s="313"/>
      <c r="IEM12" s="313"/>
      <c r="IEN12" s="313"/>
      <c r="IEO12" s="313"/>
      <c r="IEP12" s="313"/>
      <c r="IEQ12" s="95"/>
      <c r="IER12" s="313"/>
      <c r="IES12" s="313"/>
      <c r="IET12" s="313"/>
      <c r="IEU12" s="313"/>
      <c r="IEV12" s="313"/>
      <c r="IEW12" s="313"/>
      <c r="IEX12" s="313"/>
      <c r="IEY12" s="95"/>
      <c r="IEZ12" s="313"/>
      <c r="IFA12" s="313"/>
      <c r="IFB12" s="313"/>
      <c r="IFC12" s="313"/>
      <c r="IFD12" s="313"/>
      <c r="IFE12" s="313"/>
      <c r="IFF12" s="313"/>
      <c r="IFG12" s="95"/>
      <c r="IFH12" s="313"/>
      <c r="IFI12" s="313"/>
      <c r="IFJ12" s="313"/>
      <c r="IFK12" s="313"/>
      <c r="IFL12" s="313"/>
      <c r="IFM12" s="313"/>
      <c r="IFN12" s="313"/>
      <c r="IFO12" s="95"/>
      <c r="IFP12" s="313"/>
      <c r="IFQ12" s="313"/>
      <c r="IFR12" s="313"/>
      <c r="IFS12" s="313"/>
      <c r="IFT12" s="313"/>
      <c r="IFU12" s="313"/>
      <c r="IFV12" s="313"/>
      <c r="IFW12" s="95"/>
      <c r="IFX12" s="313"/>
      <c r="IFY12" s="313"/>
      <c r="IFZ12" s="313"/>
      <c r="IGA12" s="313"/>
      <c r="IGB12" s="313"/>
      <c r="IGC12" s="313"/>
      <c r="IGD12" s="313"/>
      <c r="IGE12" s="95"/>
      <c r="IGF12" s="313"/>
      <c r="IGG12" s="313"/>
      <c r="IGH12" s="313"/>
      <c r="IGI12" s="313"/>
      <c r="IGJ12" s="313"/>
      <c r="IGK12" s="313"/>
      <c r="IGL12" s="313"/>
      <c r="IGM12" s="95"/>
      <c r="IGN12" s="313"/>
      <c r="IGO12" s="313"/>
      <c r="IGP12" s="313"/>
      <c r="IGQ12" s="313"/>
      <c r="IGR12" s="313"/>
      <c r="IGS12" s="313"/>
      <c r="IGT12" s="313"/>
      <c r="IGU12" s="95"/>
      <c r="IGV12" s="313"/>
      <c r="IGW12" s="313"/>
      <c r="IGX12" s="313"/>
      <c r="IGY12" s="313"/>
      <c r="IGZ12" s="313"/>
      <c r="IHA12" s="313"/>
      <c r="IHB12" s="313"/>
      <c r="IHC12" s="95"/>
      <c r="IHD12" s="313"/>
      <c r="IHE12" s="313"/>
      <c r="IHF12" s="313"/>
      <c r="IHG12" s="313"/>
      <c r="IHH12" s="313"/>
      <c r="IHI12" s="313"/>
      <c r="IHJ12" s="313"/>
      <c r="IHK12" s="95"/>
      <c r="IHL12" s="313"/>
      <c r="IHM12" s="313"/>
      <c r="IHN12" s="313"/>
      <c r="IHO12" s="313"/>
      <c r="IHP12" s="313"/>
      <c r="IHQ12" s="313"/>
      <c r="IHR12" s="313"/>
      <c r="IHS12" s="95"/>
      <c r="IHT12" s="313"/>
      <c r="IHU12" s="313"/>
      <c r="IHV12" s="313"/>
      <c r="IHW12" s="313"/>
      <c r="IHX12" s="313"/>
      <c r="IHY12" s="313"/>
      <c r="IHZ12" s="313"/>
      <c r="IIA12" s="95"/>
      <c r="IIB12" s="313"/>
      <c r="IIC12" s="313"/>
      <c r="IID12" s="313"/>
      <c r="IIE12" s="313"/>
      <c r="IIF12" s="313"/>
      <c r="IIG12" s="313"/>
      <c r="IIH12" s="313"/>
      <c r="III12" s="95"/>
      <c r="IIJ12" s="313"/>
      <c r="IIK12" s="313"/>
      <c r="IIL12" s="313"/>
      <c r="IIM12" s="313"/>
      <c r="IIN12" s="313"/>
      <c r="IIO12" s="313"/>
      <c r="IIP12" s="313"/>
      <c r="IIQ12" s="95"/>
      <c r="IIR12" s="313"/>
      <c r="IIS12" s="313"/>
      <c r="IIT12" s="313"/>
      <c r="IIU12" s="313"/>
      <c r="IIV12" s="313"/>
      <c r="IIW12" s="313"/>
      <c r="IIX12" s="313"/>
      <c r="IIY12" s="95"/>
      <c r="IIZ12" s="313"/>
      <c r="IJA12" s="313"/>
      <c r="IJB12" s="313"/>
      <c r="IJC12" s="313"/>
      <c r="IJD12" s="313"/>
      <c r="IJE12" s="313"/>
      <c r="IJF12" s="313"/>
      <c r="IJG12" s="95"/>
      <c r="IJH12" s="313"/>
      <c r="IJI12" s="313"/>
      <c r="IJJ12" s="313"/>
      <c r="IJK12" s="313"/>
      <c r="IJL12" s="313"/>
      <c r="IJM12" s="313"/>
      <c r="IJN12" s="313"/>
      <c r="IJO12" s="95"/>
      <c r="IJP12" s="313"/>
      <c r="IJQ12" s="313"/>
      <c r="IJR12" s="313"/>
      <c r="IJS12" s="313"/>
      <c r="IJT12" s="313"/>
      <c r="IJU12" s="313"/>
      <c r="IJV12" s="313"/>
      <c r="IJW12" s="95"/>
      <c r="IJX12" s="313"/>
      <c r="IJY12" s="313"/>
      <c r="IJZ12" s="313"/>
      <c r="IKA12" s="313"/>
      <c r="IKB12" s="313"/>
      <c r="IKC12" s="313"/>
      <c r="IKD12" s="313"/>
      <c r="IKE12" s="95"/>
      <c r="IKF12" s="313"/>
      <c r="IKG12" s="313"/>
      <c r="IKH12" s="313"/>
      <c r="IKI12" s="313"/>
      <c r="IKJ12" s="313"/>
      <c r="IKK12" s="313"/>
      <c r="IKL12" s="313"/>
      <c r="IKM12" s="95"/>
      <c r="IKN12" s="313"/>
      <c r="IKO12" s="313"/>
      <c r="IKP12" s="313"/>
      <c r="IKQ12" s="313"/>
      <c r="IKR12" s="313"/>
      <c r="IKS12" s="313"/>
      <c r="IKT12" s="313"/>
      <c r="IKU12" s="95"/>
      <c r="IKV12" s="313"/>
      <c r="IKW12" s="313"/>
      <c r="IKX12" s="313"/>
      <c r="IKY12" s="313"/>
      <c r="IKZ12" s="313"/>
      <c r="ILA12" s="313"/>
      <c r="ILB12" s="313"/>
      <c r="ILC12" s="95"/>
      <c r="ILD12" s="313"/>
      <c r="ILE12" s="313"/>
      <c r="ILF12" s="313"/>
      <c r="ILG12" s="313"/>
      <c r="ILH12" s="313"/>
      <c r="ILI12" s="313"/>
      <c r="ILJ12" s="313"/>
      <c r="ILK12" s="95"/>
      <c r="ILL12" s="313"/>
      <c r="ILM12" s="313"/>
      <c r="ILN12" s="313"/>
      <c r="ILO12" s="313"/>
      <c r="ILP12" s="313"/>
      <c r="ILQ12" s="313"/>
      <c r="ILR12" s="313"/>
      <c r="ILS12" s="95"/>
      <c r="ILT12" s="313"/>
      <c r="ILU12" s="313"/>
      <c r="ILV12" s="313"/>
      <c r="ILW12" s="313"/>
      <c r="ILX12" s="313"/>
      <c r="ILY12" s="313"/>
      <c r="ILZ12" s="313"/>
      <c r="IMA12" s="95"/>
      <c r="IMB12" s="313"/>
      <c r="IMC12" s="313"/>
      <c r="IMD12" s="313"/>
      <c r="IME12" s="313"/>
      <c r="IMF12" s="313"/>
      <c r="IMG12" s="313"/>
      <c r="IMH12" s="313"/>
      <c r="IMI12" s="95"/>
      <c r="IMJ12" s="313"/>
      <c r="IMK12" s="313"/>
      <c r="IML12" s="313"/>
      <c r="IMM12" s="313"/>
      <c r="IMN12" s="313"/>
      <c r="IMO12" s="313"/>
      <c r="IMP12" s="313"/>
      <c r="IMQ12" s="95"/>
      <c r="IMR12" s="313"/>
      <c r="IMS12" s="313"/>
      <c r="IMT12" s="313"/>
      <c r="IMU12" s="313"/>
      <c r="IMV12" s="313"/>
      <c r="IMW12" s="313"/>
      <c r="IMX12" s="313"/>
      <c r="IMY12" s="95"/>
      <c r="IMZ12" s="313"/>
      <c r="INA12" s="313"/>
      <c r="INB12" s="313"/>
      <c r="INC12" s="313"/>
      <c r="IND12" s="313"/>
      <c r="INE12" s="313"/>
      <c r="INF12" s="313"/>
      <c r="ING12" s="95"/>
      <c r="INH12" s="313"/>
      <c r="INI12" s="313"/>
      <c r="INJ12" s="313"/>
      <c r="INK12" s="313"/>
      <c r="INL12" s="313"/>
      <c r="INM12" s="313"/>
      <c r="INN12" s="313"/>
      <c r="INO12" s="95"/>
      <c r="INP12" s="313"/>
      <c r="INQ12" s="313"/>
      <c r="INR12" s="313"/>
      <c r="INS12" s="313"/>
      <c r="INT12" s="313"/>
      <c r="INU12" s="313"/>
      <c r="INV12" s="313"/>
      <c r="INW12" s="95"/>
      <c r="INX12" s="313"/>
      <c r="INY12" s="313"/>
      <c r="INZ12" s="313"/>
      <c r="IOA12" s="313"/>
      <c r="IOB12" s="313"/>
      <c r="IOC12" s="313"/>
      <c r="IOD12" s="313"/>
      <c r="IOE12" s="95"/>
      <c r="IOF12" s="313"/>
      <c r="IOG12" s="313"/>
      <c r="IOH12" s="313"/>
      <c r="IOI12" s="313"/>
      <c r="IOJ12" s="313"/>
      <c r="IOK12" s="313"/>
      <c r="IOL12" s="313"/>
      <c r="IOM12" s="95"/>
      <c r="ION12" s="313"/>
      <c r="IOO12" s="313"/>
      <c r="IOP12" s="313"/>
      <c r="IOQ12" s="313"/>
      <c r="IOR12" s="313"/>
      <c r="IOS12" s="313"/>
      <c r="IOT12" s="313"/>
      <c r="IOU12" s="95"/>
      <c r="IOV12" s="313"/>
      <c r="IOW12" s="313"/>
      <c r="IOX12" s="313"/>
      <c r="IOY12" s="313"/>
      <c r="IOZ12" s="313"/>
      <c r="IPA12" s="313"/>
      <c r="IPB12" s="313"/>
      <c r="IPC12" s="95"/>
      <c r="IPD12" s="313"/>
      <c r="IPE12" s="313"/>
      <c r="IPF12" s="313"/>
      <c r="IPG12" s="313"/>
      <c r="IPH12" s="313"/>
      <c r="IPI12" s="313"/>
      <c r="IPJ12" s="313"/>
      <c r="IPK12" s="95"/>
      <c r="IPL12" s="313"/>
      <c r="IPM12" s="313"/>
      <c r="IPN12" s="313"/>
      <c r="IPO12" s="313"/>
      <c r="IPP12" s="313"/>
      <c r="IPQ12" s="313"/>
      <c r="IPR12" s="313"/>
      <c r="IPS12" s="95"/>
      <c r="IPT12" s="313"/>
      <c r="IPU12" s="313"/>
      <c r="IPV12" s="313"/>
      <c r="IPW12" s="313"/>
      <c r="IPX12" s="313"/>
      <c r="IPY12" s="313"/>
      <c r="IPZ12" s="313"/>
      <c r="IQA12" s="95"/>
      <c r="IQB12" s="313"/>
      <c r="IQC12" s="313"/>
      <c r="IQD12" s="313"/>
      <c r="IQE12" s="313"/>
      <c r="IQF12" s="313"/>
      <c r="IQG12" s="313"/>
      <c r="IQH12" s="313"/>
      <c r="IQI12" s="95"/>
      <c r="IQJ12" s="313"/>
      <c r="IQK12" s="313"/>
      <c r="IQL12" s="313"/>
      <c r="IQM12" s="313"/>
      <c r="IQN12" s="313"/>
      <c r="IQO12" s="313"/>
      <c r="IQP12" s="313"/>
      <c r="IQQ12" s="95"/>
      <c r="IQR12" s="313"/>
      <c r="IQS12" s="313"/>
      <c r="IQT12" s="313"/>
      <c r="IQU12" s="313"/>
      <c r="IQV12" s="313"/>
      <c r="IQW12" s="313"/>
      <c r="IQX12" s="313"/>
      <c r="IQY12" s="95"/>
      <c r="IQZ12" s="313"/>
      <c r="IRA12" s="313"/>
      <c r="IRB12" s="313"/>
      <c r="IRC12" s="313"/>
      <c r="IRD12" s="313"/>
      <c r="IRE12" s="313"/>
      <c r="IRF12" s="313"/>
      <c r="IRG12" s="95"/>
      <c r="IRH12" s="313"/>
      <c r="IRI12" s="313"/>
      <c r="IRJ12" s="313"/>
      <c r="IRK12" s="313"/>
      <c r="IRL12" s="313"/>
      <c r="IRM12" s="313"/>
      <c r="IRN12" s="313"/>
      <c r="IRO12" s="95"/>
      <c r="IRP12" s="313"/>
      <c r="IRQ12" s="313"/>
      <c r="IRR12" s="313"/>
      <c r="IRS12" s="313"/>
      <c r="IRT12" s="313"/>
      <c r="IRU12" s="313"/>
      <c r="IRV12" s="313"/>
      <c r="IRW12" s="95"/>
      <c r="IRX12" s="313"/>
      <c r="IRY12" s="313"/>
      <c r="IRZ12" s="313"/>
      <c r="ISA12" s="313"/>
      <c r="ISB12" s="313"/>
      <c r="ISC12" s="313"/>
      <c r="ISD12" s="313"/>
      <c r="ISE12" s="95"/>
      <c r="ISF12" s="313"/>
      <c r="ISG12" s="313"/>
      <c r="ISH12" s="313"/>
      <c r="ISI12" s="313"/>
      <c r="ISJ12" s="313"/>
      <c r="ISK12" s="313"/>
      <c r="ISL12" s="313"/>
      <c r="ISM12" s="95"/>
      <c r="ISN12" s="313"/>
      <c r="ISO12" s="313"/>
      <c r="ISP12" s="313"/>
      <c r="ISQ12" s="313"/>
      <c r="ISR12" s="313"/>
      <c r="ISS12" s="313"/>
      <c r="IST12" s="313"/>
      <c r="ISU12" s="95"/>
      <c r="ISV12" s="313"/>
      <c r="ISW12" s="313"/>
      <c r="ISX12" s="313"/>
      <c r="ISY12" s="313"/>
      <c r="ISZ12" s="313"/>
      <c r="ITA12" s="313"/>
      <c r="ITB12" s="313"/>
      <c r="ITC12" s="95"/>
      <c r="ITD12" s="313"/>
      <c r="ITE12" s="313"/>
      <c r="ITF12" s="313"/>
      <c r="ITG12" s="313"/>
      <c r="ITH12" s="313"/>
      <c r="ITI12" s="313"/>
      <c r="ITJ12" s="313"/>
      <c r="ITK12" s="95"/>
      <c r="ITL12" s="313"/>
      <c r="ITM12" s="313"/>
      <c r="ITN12" s="313"/>
      <c r="ITO12" s="313"/>
      <c r="ITP12" s="313"/>
      <c r="ITQ12" s="313"/>
      <c r="ITR12" s="313"/>
      <c r="ITS12" s="95"/>
      <c r="ITT12" s="313"/>
      <c r="ITU12" s="313"/>
      <c r="ITV12" s="313"/>
      <c r="ITW12" s="313"/>
      <c r="ITX12" s="313"/>
      <c r="ITY12" s="313"/>
      <c r="ITZ12" s="313"/>
      <c r="IUA12" s="95"/>
      <c r="IUB12" s="313"/>
      <c r="IUC12" s="313"/>
      <c r="IUD12" s="313"/>
      <c r="IUE12" s="313"/>
      <c r="IUF12" s="313"/>
      <c r="IUG12" s="313"/>
      <c r="IUH12" s="313"/>
      <c r="IUI12" s="95"/>
      <c r="IUJ12" s="313"/>
      <c r="IUK12" s="313"/>
      <c r="IUL12" s="313"/>
      <c r="IUM12" s="313"/>
      <c r="IUN12" s="313"/>
      <c r="IUO12" s="313"/>
      <c r="IUP12" s="313"/>
      <c r="IUQ12" s="95"/>
      <c r="IUR12" s="313"/>
      <c r="IUS12" s="313"/>
      <c r="IUT12" s="313"/>
      <c r="IUU12" s="313"/>
      <c r="IUV12" s="313"/>
      <c r="IUW12" s="313"/>
      <c r="IUX12" s="313"/>
      <c r="IUY12" s="95"/>
      <c r="IUZ12" s="313"/>
      <c r="IVA12" s="313"/>
      <c r="IVB12" s="313"/>
      <c r="IVC12" s="313"/>
      <c r="IVD12" s="313"/>
      <c r="IVE12" s="313"/>
      <c r="IVF12" s="313"/>
      <c r="IVG12" s="95"/>
      <c r="IVH12" s="313"/>
      <c r="IVI12" s="313"/>
      <c r="IVJ12" s="313"/>
      <c r="IVK12" s="313"/>
      <c r="IVL12" s="313"/>
      <c r="IVM12" s="313"/>
      <c r="IVN12" s="313"/>
      <c r="IVO12" s="95"/>
      <c r="IVP12" s="313"/>
      <c r="IVQ12" s="313"/>
      <c r="IVR12" s="313"/>
      <c r="IVS12" s="313"/>
      <c r="IVT12" s="313"/>
      <c r="IVU12" s="313"/>
      <c r="IVV12" s="313"/>
      <c r="IVW12" s="95"/>
      <c r="IVX12" s="313"/>
      <c r="IVY12" s="313"/>
      <c r="IVZ12" s="313"/>
      <c r="IWA12" s="313"/>
      <c r="IWB12" s="313"/>
      <c r="IWC12" s="313"/>
      <c r="IWD12" s="313"/>
      <c r="IWE12" s="95"/>
      <c r="IWF12" s="313"/>
      <c r="IWG12" s="313"/>
      <c r="IWH12" s="313"/>
      <c r="IWI12" s="313"/>
      <c r="IWJ12" s="313"/>
      <c r="IWK12" s="313"/>
      <c r="IWL12" s="313"/>
      <c r="IWM12" s="95"/>
      <c r="IWN12" s="313"/>
      <c r="IWO12" s="313"/>
      <c r="IWP12" s="313"/>
      <c r="IWQ12" s="313"/>
      <c r="IWR12" s="313"/>
      <c r="IWS12" s="313"/>
      <c r="IWT12" s="313"/>
      <c r="IWU12" s="95"/>
      <c r="IWV12" s="313"/>
      <c r="IWW12" s="313"/>
      <c r="IWX12" s="313"/>
      <c r="IWY12" s="313"/>
      <c r="IWZ12" s="313"/>
      <c r="IXA12" s="313"/>
      <c r="IXB12" s="313"/>
      <c r="IXC12" s="95"/>
      <c r="IXD12" s="313"/>
      <c r="IXE12" s="313"/>
      <c r="IXF12" s="313"/>
      <c r="IXG12" s="313"/>
      <c r="IXH12" s="313"/>
      <c r="IXI12" s="313"/>
      <c r="IXJ12" s="313"/>
      <c r="IXK12" s="95"/>
      <c r="IXL12" s="313"/>
      <c r="IXM12" s="313"/>
      <c r="IXN12" s="313"/>
      <c r="IXO12" s="313"/>
      <c r="IXP12" s="313"/>
      <c r="IXQ12" s="313"/>
      <c r="IXR12" s="313"/>
      <c r="IXS12" s="95"/>
      <c r="IXT12" s="313"/>
      <c r="IXU12" s="313"/>
      <c r="IXV12" s="313"/>
      <c r="IXW12" s="313"/>
      <c r="IXX12" s="313"/>
      <c r="IXY12" s="313"/>
      <c r="IXZ12" s="313"/>
      <c r="IYA12" s="95"/>
      <c r="IYB12" s="313"/>
      <c r="IYC12" s="313"/>
      <c r="IYD12" s="313"/>
      <c r="IYE12" s="313"/>
      <c r="IYF12" s="313"/>
      <c r="IYG12" s="313"/>
      <c r="IYH12" s="313"/>
      <c r="IYI12" s="95"/>
      <c r="IYJ12" s="313"/>
      <c r="IYK12" s="313"/>
      <c r="IYL12" s="313"/>
      <c r="IYM12" s="313"/>
      <c r="IYN12" s="313"/>
      <c r="IYO12" s="313"/>
      <c r="IYP12" s="313"/>
      <c r="IYQ12" s="95"/>
      <c r="IYR12" s="313"/>
      <c r="IYS12" s="313"/>
      <c r="IYT12" s="313"/>
      <c r="IYU12" s="313"/>
      <c r="IYV12" s="313"/>
      <c r="IYW12" s="313"/>
      <c r="IYX12" s="313"/>
      <c r="IYY12" s="95"/>
      <c r="IYZ12" s="313"/>
      <c r="IZA12" s="313"/>
      <c r="IZB12" s="313"/>
      <c r="IZC12" s="313"/>
      <c r="IZD12" s="313"/>
      <c r="IZE12" s="313"/>
      <c r="IZF12" s="313"/>
      <c r="IZG12" s="95"/>
      <c r="IZH12" s="313"/>
      <c r="IZI12" s="313"/>
      <c r="IZJ12" s="313"/>
      <c r="IZK12" s="313"/>
      <c r="IZL12" s="313"/>
      <c r="IZM12" s="313"/>
      <c r="IZN12" s="313"/>
      <c r="IZO12" s="95"/>
      <c r="IZP12" s="313"/>
      <c r="IZQ12" s="313"/>
      <c r="IZR12" s="313"/>
      <c r="IZS12" s="313"/>
      <c r="IZT12" s="313"/>
      <c r="IZU12" s="313"/>
      <c r="IZV12" s="313"/>
      <c r="IZW12" s="95"/>
      <c r="IZX12" s="313"/>
      <c r="IZY12" s="313"/>
      <c r="IZZ12" s="313"/>
      <c r="JAA12" s="313"/>
      <c r="JAB12" s="313"/>
      <c r="JAC12" s="313"/>
      <c r="JAD12" s="313"/>
      <c r="JAE12" s="95"/>
      <c r="JAF12" s="313"/>
      <c r="JAG12" s="313"/>
      <c r="JAH12" s="313"/>
      <c r="JAI12" s="313"/>
      <c r="JAJ12" s="313"/>
      <c r="JAK12" s="313"/>
      <c r="JAL12" s="313"/>
      <c r="JAM12" s="95"/>
      <c r="JAN12" s="313"/>
      <c r="JAO12" s="313"/>
      <c r="JAP12" s="313"/>
      <c r="JAQ12" s="313"/>
      <c r="JAR12" s="313"/>
      <c r="JAS12" s="313"/>
      <c r="JAT12" s="313"/>
      <c r="JAU12" s="95"/>
      <c r="JAV12" s="313"/>
      <c r="JAW12" s="313"/>
      <c r="JAX12" s="313"/>
      <c r="JAY12" s="313"/>
      <c r="JAZ12" s="313"/>
      <c r="JBA12" s="313"/>
      <c r="JBB12" s="313"/>
      <c r="JBC12" s="95"/>
      <c r="JBD12" s="313"/>
      <c r="JBE12" s="313"/>
      <c r="JBF12" s="313"/>
      <c r="JBG12" s="313"/>
      <c r="JBH12" s="313"/>
      <c r="JBI12" s="313"/>
      <c r="JBJ12" s="313"/>
      <c r="JBK12" s="95"/>
      <c r="JBL12" s="313"/>
      <c r="JBM12" s="313"/>
      <c r="JBN12" s="313"/>
      <c r="JBO12" s="313"/>
      <c r="JBP12" s="313"/>
      <c r="JBQ12" s="313"/>
      <c r="JBR12" s="313"/>
      <c r="JBS12" s="95"/>
      <c r="JBT12" s="313"/>
      <c r="JBU12" s="313"/>
      <c r="JBV12" s="313"/>
      <c r="JBW12" s="313"/>
      <c r="JBX12" s="313"/>
      <c r="JBY12" s="313"/>
      <c r="JBZ12" s="313"/>
      <c r="JCA12" s="95"/>
      <c r="JCB12" s="313"/>
      <c r="JCC12" s="313"/>
      <c r="JCD12" s="313"/>
      <c r="JCE12" s="313"/>
      <c r="JCF12" s="313"/>
      <c r="JCG12" s="313"/>
      <c r="JCH12" s="313"/>
      <c r="JCI12" s="95"/>
      <c r="JCJ12" s="313"/>
      <c r="JCK12" s="313"/>
      <c r="JCL12" s="313"/>
      <c r="JCM12" s="313"/>
      <c r="JCN12" s="313"/>
      <c r="JCO12" s="313"/>
      <c r="JCP12" s="313"/>
      <c r="JCQ12" s="95"/>
      <c r="JCR12" s="313"/>
      <c r="JCS12" s="313"/>
      <c r="JCT12" s="313"/>
      <c r="JCU12" s="313"/>
      <c r="JCV12" s="313"/>
      <c r="JCW12" s="313"/>
      <c r="JCX12" s="313"/>
      <c r="JCY12" s="95"/>
      <c r="JCZ12" s="313"/>
      <c r="JDA12" s="313"/>
      <c r="JDB12" s="313"/>
      <c r="JDC12" s="313"/>
      <c r="JDD12" s="313"/>
      <c r="JDE12" s="313"/>
      <c r="JDF12" s="313"/>
      <c r="JDG12" s="95"/>
      <c r="JDH12" s="313"/>
      <c r="JDI12" s="313"/>
      <c r="JDJ12" s="313"/>
      <c r="JDK12" s="313"/>
      <c r="JDL12" s="313"/>
      <c r="JDM12" s="313"/>
      <c r="JDN12" s="313"/>
      <c r="JDO12" s="95"/>
      <c r="JDP12" s="313"/>
      <c r="JDQ12" s="313"/>
      <c r="JDR12" s="313"/>
      <c r="JDS12" s="313"/>
      <c r="JDT12" s="313"/>
      <c r="JDU12" s="313"/>
      <c r="JDV12" s="313"/>
      <c r="JDW12" s="95"/>
      <c r="JDX12" s="313"/>
      <c r="JDY12" s="313"/>
      <c r="JDZ12" s="313"/>
      <c r="JEA12" s="313"/>
      <c r="JEB12" s="313"/>
      <c r="JEC12" s="313"/>
      <c r="JED12" s="313"/>
      <c r="JEE12" s="95"/>
      <c r="JEF12" s="313"/>
      <c r="JEG12" s="313"/>
      <c r="JEH12" s="313"/>
      <c r="JEI12" s="313"/>
      <c r="JEJ12" s="313"/>
      <c r="JEK12" s="313"/>
      <c r="JEL12" s="313"/>
      <c r="JEM12" s="95"/>
      <c r="JEN12" s="313"/>
      <c r="JEO12" s="313"/>
      <c r="JEP12" s="313"/>
      <c r="JEQ12" s="313"/>
      <c r="JER12" s="313"/>
      <c r="JES12" s="313"/>
      <c r="JET12" s="313"/>
      <c r="JEU12" s="95"/>
      <c r="JEV12" s="313"/>
      <c r="JEW12" s="313"/>
      <c r="JEX12" s="313"/>
      <c r="JEY12" s="313"/>
      <c r="JEZ12" s="313"/>
      <c r="JFA12" s="313"/>
      <c r="JFB12" s="313"/>
      <c r="JFC12" s="95"/>
      <c r="JFD12" s="313"/>
      <c r="JFE12" s="313"/>
      <c r="JFF12" s="313"/>
      <c r="JFG12" s="313"/>
      <c r="JFH12" s="313"/>
      <c r="JFI12" s="313"/>
      <c r="JFJ12" s="313"/>
      <c r="JFK12" s="95"/>
      <c r="JFL12" s="313"/>
      <c r="JFM12" s="313"/>
      <c r="JFN12" s="313"/>
      <c r="JFO12" s="313"/>
      <c r="JFP12" s="313"/>
      <c r="JFQ12" s="313"/>
      <c r="JFR12" s="313"/>
      <c r="JFS12" s="95"/>
      <c r="JFT12" s="313"/>
      <c r="JFU12" s="313"/>
      <c r="JFV12" s="313"/>
      <c r="JFW12" s="313"/>
      <c r="JFX12" s="313"/>
      <c r="JFY12" s="313"/>
      <c r="JFZ12" s="313"/>
      <c r="JGA12" s="95"/>
      <c r="JGB12" s="313"/>
      <c r="JGC12" s="313"/>
      <c r="JGD12" s="313"/>
      <c r="JGE12" s="313"/>
      <c r="JGF12" s="313"/>
      <c r="JGG12" s="313"/>
      <c r="JGH12" s="313"/>
      <c r="JGI12" s="95"/>
      <c r="JGJ12" s="313"/>
      <c r="JGK12" s="313"/>
      <c r="JGL12" s="313"/>
      <c r="JGM12" s="313"/>
      <c r="JGN12" s="313"/>
      <c r="JGO12" s="313"/>
      <c r="JGP12" s="313"/>
      <c r="JGQ12" s="95"/>
      <c r="JGR12" s="313"/>
      <c r="JGS12" s="313"/>
      <c r="JGT12" s="313"/>
      <c r="JGU12" s="313"/>
      <c r="JGV12" s="313"/>
      <c r="JGW12" s="313"/>
      <c r="JGX12" s="313"/>
      <c r="JGY12" s="95"/>
      <c r="JGZ12" s="313"/>
      <c r="JHA12" s="313"/>
      <c r="JHB12" s="313"/>
      <c r="JHC12" s="313"/>
      <c r="JHD12" s="313"/>
      <c r="JHE12" s="313"/>
      <c r="JHF12" s="313"/>
      <c r="JHG12" s="95"/>
      <c r="JHH12" s="313"/>
      <c r="JHI12" s="313"/>
      <c r="JHJ12" s="313"/>
      <c r="JHK12" s="313"/>
      <c r="JHL12" s="313"/>
      <c r="JHM12" s="313"/>
      <c r="JHN12" s="313"/>
      <c r="JHO12" s="95"/>
      <c r="JHP12" s="313"/>
      <c r="JHQ12" s="313"/>
      <c r="JHR12" s="313"/>
      <c r="JHS12" s="313"/>
      <c r="JHT12" s="313"/>
      <c r="JHU12" s="313"/>
      <c r="JHV12" s="313"/>
      <c r="JHW12" s="95"/>
      <c r="JHX12" s="313"/>
      <c r="JHY12" s="313"/>
      <c r="JHZ12" s="313"/>
      <c r="JIA12" s="313"/>
      <c r="JIB12" s="313"/>
      <c r="JIC12" s="313"/>
      <c r="JID12" s="313"/>
      <c r="JIE12" s="95"/>
      <c r="JIF12" s="313"/>
      <c r="JIG12" s="313"/>
      <c r="JIH12" s="313"/>
      <c r="JII12" s="313"/>
      <c r="JIJ12" s="313"/>
      <c r="JIK12" s="313"/>
      <c r="JIL12" s="313"/>
      <c r="JIM12" s="95"/>
      <c r="JIN12" s="313"/>
      <c r="JIO12" s="313"/>
      <c r="JIP12" s="313"/>
      <c r="JIQ12" s="313"/>
      <c r="JIR12" s="313"/>
      <c r="JIS12" s="313"/>
      <c r="JIT12" s="313"/>
      <c r="JIU12" s="95"/>
      <c r="JIV12" s="313"/>
      <c r="JIW12" s="313"/>
      <c r="JIX12" s="313"/>
      <c r="JIY12" s="313"/>
      <c r="JIZ12" s="313"/>
      <c r="JJA12" s="313"/>
      <c r="JJB12" s="313"/>
      <c r="JJC12" s="95"/>
      <c r="JJD12" s="313"/>
      <c r="JJE12" s="313"/>
      <c r="JJF12" s="313"/>
      <c r="JJG12" s="313"/>
      <c r="JJH12" s="313"/>
      <c r="JJI12" s="313"/>
      <c r="JJJ12" s="313"/>
      <c r="JJK12" s="95"/>
      <c r="JJL12" s="313"/>
      <c r="JJM12" s="313"/>
      <c r="JJN12" s="313"/>
      <c r="JJO12" s="313"/>
      <c r="JJP12" s="313"/>
      <c r="JJQ12" s="313"/>
      <c r="JJR12" s="313"/>
      <c r="JJS12" s="95"/>
      <c r="JJT12" s="313"/>
      <c r="JJU12" s="313"/>
      <c r="JJV12" s="313"/>
      <c r="JJW12" s="313"/>
      <c r="JJX12" s="313"/>
      <c r="JJY12" s="313"/>
      <c r="JJZ12" s="313"/>
      <c r="JKA12" s="95"/>
      <c r="JKB12" s="313"/>
      <c r="JKC12" s="313"/>
      <c r="JKD12" s="313"/>
      <c r="JKE12" s="313"/>
      <c r="JKF12" s="313"/>
      <c r="JKG12" s="313"/>
      <c r="JKH12" s="313"/>
      <c r="JKI12" s="95"/>
      <c r="JKJ12" s="313"/>
      <c r="JKK12" s="313"/>
      <c r="JKL12" s="313"/>
      <c r="JKM12" s="313"/>
      <c r="JKN12" s="313"/>
      <c r="JKO12" s="313"/>
      <c r="JKP12" s="313"/>
      <c r="JKQ12" s="95"/>
      <c r="JKR12" s="313"/>
      <c r="JKS12" s="313"/>
      <c r="JKT12" s="313"/>
      <c r="JKU12" s="313"/>
      <c r="JKV12" s="313"/>
      <c r="JKW12" s="313"/>
      <c r="JKX12" s="313"/>
      <c r="JKY12" s="95"/>
      <c r="JKZ12" s="313"/>
      <c r="JLA12" s="313"/>
      <c r="JLB12" s="313"/>
      <c r="JLC12" s="313"/>
      <c r="JLD12" s="313"/>
      <c r="JLE12" s="313"/>
      <c r="JLF12" s="313"/>
      <c r="JLG12" s="95"/>
      <c r="JLH12" s="313"/>
      <c r="JLI12" s="313"/>
      <c r="JLJ12" s="313"/>
      <c r="JLK12" s="313"/>
      <c r="JLL12" s="313"/>
      <c r="JLM12" s="313"/>
      <c r="JLN12" s="313"/>
      <c r="JLO12" s="95"/>
      <c r="JLP12" s="313"/>
      <c r="JLQ12" s="313"/>
      <c r="JLR12" s="313"/>
      <c r="JLS12" s="313"/>
      <c r="JLT12" s="313"/>
      <c r="JLU12" s="313"/>
      <c r="JLV12" s="313"/>
      <c r="JLW12" s="95"/>
      <c r="JLX12" s="313"/>
      <c r="JLY12" s="313"/>
      <c r="JLZ12" s="313"/>
      <c r="JMA12" s="313"/>
      <c r="JMB12" s="313"/>
      <c r="JMC12" s="313"/>
      <c r="JMD12" s="313"/>
      <c r="JME12" s="95"/>
      <c r="JMF12" s="313"/>
      <c r="JMG12" s="313"/>
      <c r="JMH12" s="313"/>
      <c r="JMI12" s="313"/>
      <c r="JMJ12" s="313"/>
      <c r="JMK12" s="313"/>
      <c r="JML12" s="313"/>
      <c r="JMM12" s="95"/>
      <c r="JMN12" s="313"/>
      <c r="JMO12" s="313"/>
      <c r="JMP12" s="313"/>
      <c r="JMQ12" s="313"/>
      <c r="JMR12" s="313"/>
      <c r="JMS12" s="313"/>
      <c r="JMT12" s="313"/>
      <c r="JMU12" s="95"/>
      <c r="JMV12" s="313"/>
      <c r="JMW12" s="313"/>
      <c r="JMX12" s="313"/>
      <c r="JMY12" s="313"/>
      <c r="JMZ12" s="313"/>
      <c r="JNA12" s="313"/>
      <c r="JNB12" s="313"/>
      <c r="JNC12" s="95"/>
      <c r="JND12" s="313"/>
      <c r="JNE12" s="313"/>
      <c r="JNF12" s="313"/>
      <c r="JNG12" s="313"/>
      <c r="JNH12" s="313"/>
      <c r="JNI12" s="313"/>
      <c r="JNJ12" s="313"/>
      <c r="JNK12" s="95"/>
      <c r="JNL12" s="313"/>
      <c r="JNM12" s="313"/>
      <c r="JNN12" s="313"/>
      <c r="JNO12" s="313"/>
      <c r="JNP12" s="313"/>
      <c r="JNQ12" s="313"/>
      <c r="JNR12" s="313"/>
      <c r="JNS12" s="95"/>
      <c r="JNT12" s="313"/>
      <c r="JNU12" s="313"/>
      <c r="JNV12" s="313"/>
      <c r="JNW12" s="313"/>
      <c r="JNX12" s="313"/>
      <c r="JNY12" s="313"/>
      <c r="JNZ12" s="313"/>
      <c r="JOA12" s="95"/>
      <c r="JOB12" s="313"/>
      <c r="JOC12" s="313"/>
      <c r="JOD12" s="313"/>
      <c r="JOE12" s="313"/>
      <c r="JOF12" s="313"/>
      <c r="JOG12" s="313"/>
      <c r="JOH12" s="313"/>
      <c r="JOI12" s="95"/>
      <c r="JOJ12" s="313"/>
      <c r="JOK12" s="313"/>
      <c r="JOL12" s="313"/>
      <c r="JOM12" s="313"/>
      <c r="JON12" s="313"/>
      <c r="JOO12" s="313"/>
      <c r="JOP12" s="313"/>
      <c r="JOQ12" s="95"/>
      <c r="JOR12" s="313"/>
      <c r="JOS12" s="313"/>
      <c r="JOT12" s="313"/>
      <c r="JOU12" s="313"/>
      <c r="JOV12" s="313"/>
      <c r="JOW12" s="313"/>
      <c r="JOX12" s="313"/>
      <c r="JOY12" s="95"/>
      <c r="JOZ12" s="313"/>
      <c r="JPA12" s="313"/>
      <c r="JPB12" s="313"/>
      <c r="JPC12" s="313"/>
      <c r="JPD12" s="313"/>
      <c r="JPE12" s="313"/>
      <c r="JPF12" s="313"/>
      <c r="JPG12" s="95"/>
      <c r="JPH12" s="313"/>
      <c r="JPI12" s="313"/>
      <c r="JPJ12" s="313"/>
      <c r="JPK12" s="313"/>
      <c r="JPL12" s="313"/>
      <c r="JPM12" s="313"/>
      <c r="JPN12" s="313"/>
      <c r="JPO12" s="95"/>
      <c r="JPP12" s="313"/>
      <c r="JPQ12" s="313"/>
      <c r="JPR12" s="313"/>
      <c r="JPS12" s="313"/>
      <c r="JPT12" s="313"/>
      <c r="JPU12" s="313"/>
      <c r="JPV12" s="313"/>
      <c r="JPW12" s="95"/>
      <c r="JPX12" s="313"/>
      <c r="JPY12" s="313"/>
      <c r="JPZ12" s="313"/>
      <c r="JQA12" s="313"/>
      <c r="JQB12" s="313"/>
      <c r="JQC12" s="313"/>
      <c r="JQD12" s="313"/>
      <c r="JQE12" s="95"/>
      <c r="JQF12" s="313"/>
      <c r="JQG12" s="313"/>
      <c r="JQH12" s="313"/>
      <c r="JQI12" s="313"/>
      <c r="JQJ12" s="313"/>
      <c r="JQK12" s="313"/>
      <c r="JQL12" s="313"/>
      <c r="JQM12" s="95"/>
      <c r="JQN12" s="313"/>
      <c r="JQO12" s="313"/>
      <c r="JQP12" s="313"/>
      <c r="JQQ12" s="313"/>
      <c r="JQR12" s="313"/>
      <c r="JQS12" s="313"/>
      <c r="JQT12" s="313"/>
      <c r="JQU12" s="95"/>
      <c r="JQV12" s="313"/>
      <c r="JQW12" s="313"/>
      <c r="JQX12" s="313"/>
      <c r="JQY12" s="313"/>
      <c r="JQZ12" s="313"/>
      <c r="JRA12" s="313"/>
      <c r="JRB12" s="313"/>
      <c r="JRC12" s="95"/>
      <c r="JRD12" s="313"/>
      <c r="JRE12" s="313"/>
      <c r="JRF12" s="313"/>
      <c r="JRG12" s="313"/>
      <c r="JRH12" s="313"/>
      <c r="JRI12" s="313"/>
      <c r="JRJ12" s="313"/>
      <c r="JRK12" s="95"/>
      <c r="JRL12" s="313"/>
      <c r="JRM12" s="313"/>
      <c r="JRN12" s="313"/>
      <c r="JRO12" s="313"/>
      <c r="JRP12" s="313"/>
      <c r="JRQ12" s="313"/>
      <c r="JRR12" s="313"/>
      <c r="JRS12" s="95"/>
      <c r="JRT12" s="313"/>
      <c r="JRU12" s="313"/>
      <c r="JRV12" s="313"/>
      <c r="JRW12" s="313"/>
      <c r="JRX12" s="313"/>
      <c r="JRY12" s="313"/>
      <c r="JRZ12" s="313"/>
      <c r="JSA12" s="95"/>
      <c r="JSB12" s="313"/>
      <c r="JSC12" s="313"/>
      <c r="JSD12" s="313"/>
      <c r="JSE12" s="313"/>
      <c r="JSF12" s="313"/>
      <c r="JSG12" s="313"/>
      <c r="JSH12" s="313"/>
      <c r="JSI12" s="95"/>
      <c r="JSJ12" s="313"/>
      <c r="JSK12" s="313"/>
      <c r="JSL12" s="313"/>
      <c r="JSM12" s="313"/>
      <c r="JSN12" s="313"/>
      <c r="JSO12" s="313"/>
      <c r="JSP12" s="313"/>
      <c r="JSQ12" s="95"/>
      <c r="JSR12" s="313"/>
      <c r="JSS12" s="313"/>
      <c r="JST12" s="313"/>
      <c r="JSU12" s="313"/>
      <c r="JSV12" s="313"/>
      <c r="JSW12" s="313"/>
      <c r="JSX12" s="313"/>
      <c r="JSY12" s="95"/>
      <c r="JSZ12" s="313"/>
      <c r="JTA12" s="313"/>
      <c r="JTB12" s="313"/>
      <c r="JTC12" s="313"/>
      <c r="JTD12" s="313"/>
      <c r="JTE12" s="313"/>
      <c r="JTF12" s="313"/>
      <c r="JTG12" s="95"/>
      <c r="JTH12" s="313"/>
      <c r="JTI12" s="313"/>
      <c r="JTJ12" s="313"/>
      <c r="JTK12" s="313"/>
      <c r="JTL12" s="313"/>
      <c r="JTM12" s="313"/>
      <c r="JTN12" s="313"/>
      <c r="JTO12" s="95"/>
      <c r="JTP12" s="313"/>
      <c r="JTQ12" s="313"/>
      <c r="JTR12" s="313"/>
      <c r="JTS12" s="313"/>
      <c r="JTT12" s="313"/>
      <c r="JTU12" s="313"/>
      <c r="JTV12" s="313"/>
      <c r="JTW12" s="95"/>
      <c r="JTX12" s="313"/>
      <c r="JTY12" s="313"/>
      <c r="JTZ12" s="313"/>
      <c r="JUA12" s="313"/>
      <c r="JUB12" s="313"/>
      <c r="JUC12" s="313"/>
      <c r="JUD12" s="313"/>
      <c r="JUE12" s="95"/>
      <c r="JUF12" s="313"/>
      <c r="JUG12" s="313"/>
      <c r="JUH12" s="313"/>
      <c r="JUI12" s="313"/>
      <c r="JUJ12" s="313"/>
      <c r="JUK12" s="313"/>
      <c r="JUL12" s="313"/>
      <c r="JUM12" s="95"/>
      <c r="JUN12" s="313"/>
      <c r="JUO12" s="313"/>
      <c r="JUP12" s="313"/>
      <c r="JUQ12" s="313"/>
      <c r="JUR12" s="313"/>
      <c r="JUS12" s="313"/>
      <c r="JUT12" s="313"/>
      <c r="JUU12" s="95"/>
      <c r="JUV12" s="313"/>
      <c r="JUW12" s="313"/>
      <c r="JUX12" s="313"/>
      <c r="JUY12" s="313"/>
      <c r="JUZ12" s="313"/>
      <c r="JVA12" s="313"/>
      <c r="JVB12" s="313"/>
      <c r="JVC12" s="95"/>
      <c r="JVD12" s="313"/>
      <c r="JVE12" s="313"/>
      <c r="JVF12" s="313"/>
      <c r="JVG12" s="313"/>
      <c r="JVH12" s="313"/>
      <c r="JVI12" s="313"/>
      <c r="JVJ12" s="313"/>
      <c r="JVK12" s="95"/>
      <c r="JVL12" s="313"/>
      <c r="JVM12" s="313"/>
      <c r="JVN12" s="313"/>
      <c r="JVO12" s="313"/>
      <c r="JVP12" s="313"/>
      <c r="JVQ12" s="313"/>
      <c r="JVR12" s="313"/>
      <c r="JVS12" s="95"/>
      <c r="JVT12" s="313"/>
      <c r="JVU12" s="313"/>
      <c r="JVV12" s="313"/>
      <c r="JVW12" s="313"/>
      <c r="JVX12" s="313"/>
      <c r="JVY12" s="313"/>
      <c r="JVZ12" s="313"/>
      <c r="JWA12" s="95"/>
      <c r="JWB12" s="313"/>
      <c r="JWC12" s="313"/>
      <c r="JWD12" s="313"/>
      <c r="JWE12" s="313"/>
      <c r="JWF12" s="313"/>
      <c r="JWG12" s="313"/>
      <c r="JWH12" s="313"/>
      <c r="JWI12" s="95"/>
      <c r="JWJ12" s="313"/>
      <c r="JWK12" s="313"/>
      <c r="JWL12" s="313"/>
      <c r="JWM12" s="313"/>
      <c r="JWN12" s="313"/>
      <c r="JWO12" s="313"/>
      <c r="JWP12" s="313"/>
      <c r="JWQ12" s="95"/>
      <c r="JWR12" s="313"/>
      <c r="JWS12" s="313"/>
      <c r="JWT12" s="313"/>
      <c r="JWU12" s="313"/>
      <c r="JWV12" s="313"/>
      <c r="JWW12" s="313"/>
      <c r="JWX12" s="313"/>
      <c r="JWY12" s="95"/>
      <c r="JWZ12" s="313"/>
      <c r="JXA12" s="313"/>
      <c r="JXB12" s="313"/>
      <c r="JXC12" s="313"/>
      <c r="JXD12" s="313"/>
      <c r="JXE12" s="313"/>
      <c r="JXF12" s="313"/>
      <c r="JXG12" s="95"/>
      <c r="JXH12" s="313"/>
      <c r="JXI12" s="313"/>
      <c r="JXJ12" s="313"/>
      <c r="JXK12" s="313"/>
      <c r="JXL12" s="313"/>
      <c r="JXM12" s="313"/>
      <c r="JXN12" s="313"/>
      <c r="JXO12" s="95"/>
      <c r="JXP12" s="313"/>
      <c r="JXQ12" s="313"/>
      <c r="JXR12" s="313"/>
      <c r="JXS12" s="313"/>
      <c r="JXT12" s="313"/>
      <c r="JXU12" s="313"/>
      <c r="JXV12" s="313"/>
      <c r="JXW12" s="95"/>
      <c r="JXX12" s="313"/>
      <c r="JXY12" s="313"/>
      <c r="JXZ12" s="313"/>
      <c r="JYA12" s="313"/>
      <c r="JYB12" s="313"/>
      <c r="JYC12" s="313"/>
      <c r="JYD12" s="313"/>
      <c r="JYE12" s="95"/>
      <c r="JYF12" s="313"/>
      <c r="JYG12" s="313"/>
      <c r="JYH12" s="313"/>
      <c r="JYI12" s="313"/>
      <c r="JYJ12" s="313"/>
      <c r="JYK12" s="313"/>
      <c r="JYL12" s="313"/>
      <c r="JYM12" s="95"/>
      <c r="JYN12" s="313"/>
      <c r="JYO12" s="313"/>
      <c r="JYP12" s="313"/>
      <c r="JYQ12" s="313"/>
      <c r="JYR12" s="313"/>
      <c r="JYS12" s="313"/>
      <c r="JYT12" s="313"/>
      <c r="JYU12" s="95"/>
      <c r="JYV12" s="313"/>
      <c r="JYW12" s="313"/>
      <c r="JYX12" s="313"/>
      <c r="JYY12" s="313"/>
      <c r="JYZ12" s="313"/>
      <c r="JZA12" s="313"/>
      <c r="JZB12" s="313"/>
      <c r="JZC12" s="95"/>
      <c r="JZD12" s="313"/>
      <c r="JZE12" s="313"/>
      <c r="JZF12" s="313"/>
      <c r="JZG12" s="313"/>
      <c r="JZH12" s="313"/>
      <c r="JZI12" s="313"/>
      <c r="JZJ12" s="313"/>
      <c r="JZK12" s="95"/>
      <c r="JZL12" s="313"/>
      <c r="JZM12" s="313"/>
      <c r="JZN12" s="313"/>
      <c r="JZO12" s="313"/>
      <c r="JZP12" s="313"/>
      <c r="JZQ12" s="313"/>
      <c r="JZR12" s="313"/>
      <c r="JZS12" s="95"/>
      <c r="JZT12" s="313"/>
      <c r="JZU12" s="313"/>
      <c r="JZV12" s="313"/>
      <c r="JZW12" s="313"/>
      <c r="JZX12" s="313"/>
      <c r="JZY12" s="313"/>
      <c r="JZZ12" s="313"/>
      <c r="KAA12" s="95"/>
      <c r="KAB12" s="313"/>
      <c r="KAC12" s="313"/>
      <c r="KAD12" s="313"/>
      <c r="KAE12" s="313"/>
      <c r="KAF12" s="313"/>
      <c r="KAG12" s="313"/>
      <c r="KAH12" s="313"/>
      <c r="KAI12" s="95"/>
      <c r="KAJ12" s="313"/>
      <c r="KAK12" s="313"/>
      <c r="KAL12" s="313"/>
      <c r="KAM12" s="313"/>
      <c r="KAN12" s="313"/>
      <c r="KAO12" s="313"/>
      <c r="KAP12" s="313"/>
      <c r="KAQ12" s="95"/>
      <c r="KAR12" s="313"/>
      <c r="KAS12" s="313"/>
      <c r="KAT12" s="313"/>
      <c r="KAU12" s="313"/>
      <c r="KAV12" s="313"/>
      <c r="KAW12" s="313"/>
      <c r="KAX12" s="313"/>
      <c r="KAY12" s="95"/>
      <c r="KAZ12" s="313"/>
      <c r="KBA12" s="313"/>
      <c r="KBB12" s="313"/>
      <c r="KBC12" s="313"/>
      <c r="KBD12" s="313"/>
      <c r="KBE12" s="313"/>
      <c r="KBF12" s="313"/>
      <c r="KBG12" s="95"/>
      <c r="KBH12" s="313"/>
      <c r="KBI12" s="313"/>
      <c r="KBJ12" s="313"/>
      <c r="KBK12" s="313"/>
      <c r="KBL12" s="313"/>
      <c r="KBM12" s="313"/>
      <c r="KBN12" s="313"/>
      <c r="KBO12" s="95"/>
      <c r="KBP12" s="313"/>
      <c r="KBQ12" s="313"/>
      <c r="KBR12" s="313"/>
      <c r="KBS12" s="313"/>
      <c r="KBT12" s="313"/>
      <c r="KBU12" s="313"/>
      <c r="KBV12" s="313"/>
      <c r="KBW12" s="95"/>
      <c r="KBX12" s="313"/>
      <c r="KBY12" s="313"/>
      <c r="KBZ12" s="313"/>
      <c r="KCA12" s="313"/>
      <c r="KCB12" s="313"/>
      <c r="KCC12" s="313"/>
      <c r="KCD12" s="313"/>
      <c r="KCE12" s="95"/>
      <c r="KCF12" s="313"/>
      <c r="KCG12" s="313"/>
      <c r="KCH12" s="313"/>
      <c r="KCI12" s="313"/>
      <c r="KCJ12" s="313"/>
      <c r="KCK12" s="313"/>
      <c r="KCL12" s="313"/>
      <c r="KCM12" s="95"/>
      <c r="KCN12" s="313"/>
      <c r="KCO12" s="313"/>
      <c r="KCP12" s="313"/>
      <c r="KCQ12" s="313"/>
      <c r="KCR12" s="313"/>
      <c r="KCS12" s="313"/>
      <c r="KCT12" s="313"/>
      <c r="KCU12" s="95"/>
      <c r="KCV12" s="313"/>
      <c r="KCW12" s="313"/>
      <c r="KCX12" s="313"/>
      <c r="KCY12" s="313"/>
      <c r="KCZ12" s="313"/>
      <c r="KDA12" s="313"/>
      <c r="KDB12" s="313"/>
      <c r="KDC12" s="95"/>
      <c r="KDD12" s="313"/>
      <c r="KDE12" s="313"/>
      <c r="KDF12" s="313"/>
      <c r="KDG12" s="313"/>
      <c r="KDH12" s="313"/>
      <c r="KDI12" s="313"/>
      <c r="KDJ12" s="313"/>
      <c r="KDK12" s="95"/>
      <c r="KDL12" s="313"/>
      <c r="KDM12" s="313"/>
      <c r="KDN12" s="313"/>
      <c r="KDO12" s="313"/>
      <c r="KDP12" s="313"/>
      <c r="KDQ12" s="313"/>
      <c r="KDR12" s="313"/>
      <c r="KDS12" s="95"/>
      <c r="KDT12" s="313"/>
      <c r="KDU12" s="313"/>
      <c r="KDV12" s="313"/>
      <c r="KDW12" s="313"/>
      <c r="KDX12" s="313"/>
      <c r="KDY12" s="313"/>
      <c r="KDZ12" s="313"/>
      <c r="KEA12" s="95"/>
      <c r="KEB12" s="313"/>
      <c r="KEC12" s="313"/>
      <c r="KED12" s="313"/>
      <c r="KEE12" s="313"/>
      <c r="KEF12" s="313"/>
      <c r="KEG12" s="313"/>
      <c r="KEH12" s="313"/>
      <c r="KEI12" s="95"/>
      <c r="KEJ12" s="313"/>
      <c r="KEK12" s="313"/>
      <c r="KEL12" s="313"/>
      <c r="KEM12" s="313"/>
      <c r="KEN12" s="313"/>
      <c r="KEO12" s="313"/>
      <c r="KEP12" s="313"/>
      <c r="KEQ12" s="95"/>
      <c r="KER12" s="313"/>
      <c r="KES12" s="313"/>
      <c r="KET12" s="313"/>
      <c r="KEU12" s="313"/>
      <c r="KEV12" s="313"/>
      <c r="KEW12" s="313"/>
      <c r="KEX12" s="313"/>
      <c r="KEY12" s="95"/>
      <c r="KEZ12" s="313"/>
      <c r="KFA12" s="313"/>
      <c r="KFB12" s="313"/>
      <c r="KFC12" s="313"/>
      <c r="KFD12" s="313"/>
      <c r="KFE12" s="313"/>
      <c r="KFF12" s="313"/>
      <c r="KFG12" s="95"/>
      <c r="KFH12" s="313"/>
      <c r="KFI12" s="313"/>
      <c r="KFJ12" s="313"/>
      <c r="KFK12" s="313"/>
      <c r="KFL12" s="313"/>
      <c r="KFM12" s="313"/>
      <c r="KFN12" s="313"/>
      <c r="KFO12" s="95"/>
      <c r="KFP12" s="313"/>
      <c r="KFQ12" s="313"/>
      <c r="KFR12" s="313"/>
      <c r="KFS12" s="313"/>
      <c r="KFT12" s="313"/>
      <c r="KFU12" s="313"/>
      <c r="KFV12" s="313"/>
      <c r="KFW12" s="95"/>
      <c r="KFX12" s="313"/>
      <c r="KFY12" s="313"/>
      <c r="KFZ12" s="313"/>
      <c r="KGA12" s="313"/>
      <c r="KGB12" s="313"/>
      <c r="KGC12" s="313"/>
      <c r="KGD12" s="313"/>
      <c r="KGE12" s="95"/>
      <c r="KGF12" s="313"/>
      <c r="KGG12" s="313"/>
      <c r="KGH12" s="313"/>
      <c r="KGI12" s="313"/>
      <c r="KGJ12" s="313"/>
      <c r="KGK12" s="313"/>
      <c r="KGL12" s="313"/>
      <c r="KGM12" s="95"/>
      <c r="KGN12" s="313"/>
      <c r="KGO12" s="313"/>
      <c r="KGP12" s="313"/>
      <c r="KGQ12" s="313"/>
      <c r="KGR12" s="313"/>
      <c r="KGS12" s="313"/>
      <c r="KGT12" s="313"/>
      <c r="KGU12" s="95"/>
      <c r="KGV12" s="313"/>
      <c r="KGW12" s="313"/>
      <c r="KGX12" s="313"/>
      <c r="KGY12" s="313"/>
      <c r="KGZ12" s="313"/>
      <c r="KHA12" s="313"/>
      <c r="KHB12" s="313"/>
      <c r="KHC12" s="95"/>
      <c r="KHD12" s="313"/>
      <c r="KHE12" s="313"/>
      <c r="KHF12" s="313"/>
      <c r="KHG12" s="313"/>
      <c r="KHH12" s="313"/>
      <c r="KHI12" s="313"/>
      <c r="KHJ12" s="313"/>
      <c r="KHK12" s="95"/>
      <c r="KHL12" s="313"/>
      <c r="KHM12" s="313"/>
      <c r="KHN12" s="313"/>
      <c r="KHO12" s="313"/>
      <c r="KHP12" s="313"/>
      <c r="KHQ12" s="313"/>
      <c r="KHR12" s="313"/>
      <c r="KHS12" s="95"/>
      <c r="KHT12" s="313"/>
      <c r="KHU12" s="313"/>
      <c r="KHV12" s="313"/>
      <c r="KHW12" s="313"/>
      <c r="KHX12" s="313"/>
      <c r="KHY12" s="313"/>
      <c r="KHZ12" s="313"/>
      <c r="KIA12" s="95"/>
      <c r="KIB12" s="313"/>
      <c r="KIC12" s="313"/>
      <c r="KID12" s="313"/>
      <c r="KIE12" s="313"/>
      <c r="KIF12" s="313"/>
      <c r="KIG12" s="313"/>
      <c r="KIH12" s="313"/>
      <c r="KII12" s="95"/>
      <c r="KIJ12" s="313"/>
      <c r="KIK12" s="313"/>
      <c r="KIL12" s="313"/>
      <c r="KIM12" s="313"/>
      <c r="KIN12" s="313"/>
      <c r="KIO12" s="313"/>
      <c r="KIP12" s="313"/>
      <c r="KIQ12" s="95"/>
      <c r="KIR12" s="313"/>
      <c r="KIS12" s="313"/>
      <c r="KIT12" s="313"/>
      <c r="KIU12" s="313"/>
      <c r="KIV12" s="313"/>
      <c r="KIW12" s="313"/>
      <c r="KIX12" s="313"/>
      <c r="KIY12" s="95"/>
      <c r="KIZ12" s="313"/>
      <c r="KJA12" s="313"/>
      <c r="KJB12" s="313"/>
      <c r="KJC12" s="313"/>
      <c r="KJD12" s="313"/>
      <c r="KJE12" s="313"/>
      <c r="KJF12" s="313"/>
      <c r="KJG12" s="95"/>
      <c r="KJH12" s="313"/>
      <c r="KJI12" s="313"/>
      <c r="KJJ12" s="313"/>
      <c r="KJK12" s="313"/>
      <c r="KJL12" s="313"/>
      <c r="KJM12" s="313"/>
      <c r="KJN12" s="313"/>
      <c r="KJO12" s="95"/>
      <c r="KJP12" s="313"/>
      <c r="KJQ12" s="313"/>
      <c r="KJR12" s="313"/>
      <c r="KJS12" s="313"/>
      <c r="KJT12" s="313"/>
      <c r="KJU12" s="313"/>
      <c r="KJV12" s="313"/>
      <c r="KJW12" s="95"/>
      <c r="KJX12" s="313"/>
      <c r="KJY12" s="313"/>
      <c r="KJZ12" s="313"/>
      <c r="KKA12" s="313"/>
      <c r="KKB12" s="313"/>
      <c r="KKC12" s="313"/>
      <c r="KKD12" s="313"/>
      <c r="KKE12" s="95"/>
      <c r="KKF12" s="313"/>
      <c r="KKG12" s="313"/>
      <c r="KKH12" s="313"/>
      <c r="KKI12" s="313"/>
      <c r="KKJ12" s="313"/>
      <c r="KKK12" s="313"/>
      <c r="KKL12" s="313"/>
      <c r="KKM12" s="95"/>
      <c r="KKN12" s="313"/>
      <c r="KKO12" s="313"/>
      <c r="KKP12" s="313"/>
      <c r="KKQ12" s="313"/>
      <c r="KKR12" s="313"/>
      <c r="KKS12" s="313"/>
      <c r="KKT12" s="313"/>
      <c r="KKU12" s="95"/>
      <c r="KKV12" s="313"/>
      <c r="KKW12" s="313"/>
      <c r="KKX12" s="313"/>
      <c r="KKY12" s="313"/>
      <c r="KKZ12" s="313"/>
      <c r="KLA12" s="313"/>
      <c r="KLB12" s="313"/>
      <c r="KLC12" s="95"/>
      <c r="KLD12" s="313"/>
      <c r="KLE12" s="313"/>
      <c r="KLF12" s="313"/>
      <c r="KLG12" s="313"/>
      <c r="KLH12" s="313"/>
      <c r="KLI12" s="313"/>
      <c r="KLJ12" s="313"/>
      <c r="KLK12" s="95"/>
      <c r="KLL12" s="313"/>
      <c r="KLM12" s="313"/>
      <c r="KLN12" s="313"/>
      <c r="KLO12" s="313"/>
      <c r="KLP12" s="313"/>
      <c r="KLQ12" s="313"/>
      <c r="KLR12" s="313"/>
      <c r="KLS12" s="95"/>
      <c r="KLT12" s="313"/>
      <c r="KLU12" s="313"/>
      <c r="KLV12" s="313"/>
      <c r="KLW12" s="313"/>
      <c r="KLX12" s="313"/>
      <c r="KLY12" s="313"/>
      <c r="KLZ12" s="313"/>
      <c r="KMA12" s="95"/>
      <c r="KMB12" s="313"/>
      <c r="KMC12" s="313"/>
      <c r="KMD12" s="313"/>
      <c r="KME12" s="313"/>
      <c r="KMF12" s="313"/>
      <c r="KMG12" s="313"/>
      <c r="KMH12" s="313"/>
      <c r="KMI12" s="95"/>
      <c r="KMJ12" s="313"/>
      <c r="KMK12" s="313"/>
      <c r="KML12" s="313"/>
      <c r="KMM12" s="313"/>
      <c r="KMN12" s="313"/>
      <c r="KMO12" s="313"/>
      <c r="KMP12" s="313"/>
      <c r="KMQ12" s="95"/>
      <c r="KMR12" s="313"/>
      <c r="KMS12" s="313"/>
      <c r="KMT12" s="313"/>
      <c r="KMU12" s="313"/>
      <c r="KMV12" s="313"/>
      <c r="KMW12" s="313"/>
      <c r="KMX12" s="313"/>
      <c r="KMY12" s="95"/>
      <c r="KMZ12" s="313"/>
      <c r="KNA12" s="313"/>
      <c r="KNB12" s="313"/>
      <c r="KNC12" s="313"/>
      <c r="KND12" s="313"/>
      <c r="KNE12" s="313"/>
      <c r="KNF12" s="313"/>
      <c r="KNG12" s="95"/>
      <c r="KNH12" s="313"/>
      <c r="KNI12" s="313"/>
      <c r="KNJ12" s="313"/>
      <c r="KNK12" s="313"/>
      <c r="KNL12" s="313"/>
      <c r="KNM12" s="313"/>
      <c r="KNN12" s="313"/>
      <c r="KNO12" s="95"/>
      <c r="KNP12" s="313"/>
      <c r="KNQ12" s="313"/>
      <c r="KNR12" s="313"/>
      <c r="KNS12" s="313"/>
      <c r="KNT12" s="313"/>
      <c r="KNU12" s="313"/>
      <c r="KNV12" s="313"/>
      <c r="KNW12" s="95"/>
      <c r="KNX12" s="313"/>
      <c r="KNY12" s="313"/>
      <c r="KNZ12" s="313"/>
      <c r="KOA12" s="313"/>
      <c r="KOB12" s="313"/>
      <c r="KOC12" s="313"/>
      <c r="KOD12" s="313"/>
      <c r="KOE12" s="95"/>
      <c r="KOF12" s="313"/>
      <c r="KOG12" s="313"/>
      <c r="KOH12" s="313"/>
      <c r="KOI12" s="313"/>
      <c r="KOJ12" s="313"/>
      <c r="KOK12" s="313"/>
      <c r="KOL12" s="313"/>
      <c r="KOM12" s="95"/>
      <c r="KON12" s="313"/>
      <c r="KOO12" s="313"/>
      <c r="KOP12" s="313"/>
      <c r="KOQ12" s="313"/>
      <c r="KOR12" s="313"/>
      <c r="KOS12" s="313"/>
      <c r="KOT12" s="313"/>
      <c r="KOU12" s="95"/>
      <c r="KOV12" s="313"/>
      <c r="KOW12" s="313"/>
      <c r="KOX12" s="313"/>
      <c r="KOY12" s="313"/>
      <c r="KOZ12" s="313"/>
      <c r="KPA12" s="313"/>
      <c r="KPB12" s="313"/>
      <c r="KPC12" s="95"/>
      <c r="KPD12" s="313"/>
      <c r="KPE12" s="313"/>
      <c r="KPF12" s="313"/>
      <c r="KPG12" s="313"/>
      <c r="KPH12" s="313"/>
      <c r="KPI12" s="313"/>
      <c r="KPJ12" s="313"/>
      <c r="KPK12" s="95"/>
      <c r="KPL12" s="313"/>
      <c r="KPM12" s="313"/>
      <c r="KPN12" s="313"/>
      <c r="KPO12" s="313"/>
      <c r="KPP12" s="313"/>
      <c r="KPQ12" s="313"/>
      <c r="KPR12" s="313"/>
      <c r="KPS12" s="95"/>
      <c r="KPT12" s="313"/>
      <c r="KPU12" s="313"/>
      <c r="KPV12" s="313"/>
      <c r="KPW12" s="313"/>
      <c r="KPX12" s="313"/>
      <c r="KPY12" s="313"/>
      <c r="KPZ12" s="313"/>
      <c r="KQA12" s="95"/>
      <c r="KQB12" s="313"/>
      <c r="KQC12" s="313"/>
      <c r="KQD12" s="313"/>
      <c r="KQE12" s="313"/>
      <c r="KQF12" s="313"/>
      <c r="KQG12" s="313"/>
      <c r="KQH12" s="313"/>
      <c r="KQI12" s="95"/>
      <c r="KQJ12" s="313"/>
      <c r="KQK12" s="313"/>
      <c r="KQL12" s="313"/>
      <c r="KQM12" s="313"/>
      <c r="KQN12" s="313"/>
      <c r="KQO12" s="313"/>
      <c r="KQP12" s="313"/>
      <c r="KQQ12" s="95"/>
      <c r="KQR12" s="313"/>
      <c r="KQS12" s="313"/>
      <c r="KQT12" s="313"/>
      <c r="KQU12" s="313"/>
      <c r="KQV12" s="313"/>
      <c r="KQW12" s="313"/>
      <c r="KQX12" s="313"/>
      <c r="KQY12" s="95"/>
      <c r="KQZ12" s="313"/>
      <c r="KRA12" s="313"/>
      <c r="KRB12" s="313"/>
      <c r="KRC12" s="313"/>
      <c r="KRD12" s="313"/>
      <c r="KRE12" s="313"/>
      <c r="KRF12" s="313"/>
      <c r="KRG12" s="95"/>
      <c r="KRH12" s="313"/>
      <c r="KRI12" s="313"/>
      <c r="KRJ12" s="313"/>
      <c r="KRK12" s="313"/>
      <c r="KRL12" s="313"/>
      <c r="KRM12" s="313"/>
      <c r="KRN12" s="313"/>
      <c r="KRO12" s="95"/>
      <c r="KRP12" s="313"/>
      <c r="KRQ12" s="313"/>
      <c r="KRR12" s="313"/>
      <c r="KRS12" s="313"/>
      <c r="KRT12" s="313"/>
      <c r="KRU12" s="313"/>
      <c r="KRV12" s="313"/>
      <c r="KRW12" s="95"/>
      <c r="KRX12" s="313"/>
      <c r="KRY12" s="313"/>
      <c r="KRZ12" s="313"/>
      <c r="KSA12" s="313"/>
      <c r="KSB12" s="313"/>
      <c r="KSC12" s="313"/>
      <c r="KSD12" s="313"/>
      <c r="KSE12" s="95"/>
      <c r="KSF12" s="313"/>
      <c r="KSG12" s="313"/>
      <c r="KSH12" s="313"/>
      <c r="KSI12" s="313"/>
      <c r="KSJ12" s="313"/>
      <c r="KSK12" s="313"/>
      <c r="KSL12" s="313"/>
      <c r="KSM12" s="95"/>
      <c r="KSN12" s="313"/>
      <c r="KSO12" s="313"/>
      <c r="KSP12" s="313"/>
      <c r="KSQ12" s="313"/>
      <c r="KSR12" s="313"/>
      <c r="KSS12" s="313"/>
      <c r="KST12" s="313"/>
      <c r="KSU12" s="95"/>
      <c r="KSV12" s="313"/>
      <c r="KSW12" s="313"/>
      <c r="KSX12" s="313"/>
      <c r="KSY12" s="313"/>
      <c r="KSZ12" s="313"/>
      <c r="KTA12" s="313"/>
      <c r="KTB12" s="313"/>
      <c r="KTC12" s="95"/>
      <c r="KTD12" s="313"/>
      <c r="KTE12" s="313"/>
      <c r="KTF12" s="313"/>
      <c r="KTG12" s="313"/>
      <c r="KTH12" s="313"/>
      <c r="KTI12" s="313"/>
      <c r="KTJ12" s="313"/>
      <c r="KTK12" s="95"/>
      <c r="KTL12" s="313"/>
      <c r="KTM12" s="313"/>
      <c r="KTN12" s="313"/>
      <c r="KTO12" s="313"/>
      <c r="KTP12" s="313"/>
      <c r="KTQ12" s="313"/>
      <c r="KTR12" s="313"/>
      <c r="KTS12" s="95"/>
      <c r="KTT12" s="313"/>
      <c r="KTU12" s="313"/>
      <c r="KTV12" s="313"/>
      <c r="KTW12" s="313"/>
      <c r="KTX12" s="313"/>
      <c r="KTY12" s="313"/>
      <c r="KTZ12" s="313"/>
      <c r="KUA12" s="95"/>
      <c r="KUB12" s="313"/>
      <c r="KUC12" s="313"/>
      <c r="KUD12" s="313"/>
      <c r="KUE12" s="313"/>
      <c r="KUF12" s="313"/>
      <c r="KUG12" s="313"/>
      <c r="KUH12" s="313"/>
      <c r="KUI12" s="95"/>
      <c r="KUJ12" s="313"/>
      <c r="KUK12" s="313"/>
      <c r="KUL12" s="313"/>
      <c r="KUM12" s="313"/>
      <c r="KUN12" s="313"/>
      <c r="KUO12" s="313"/>
      <c r="KUP12" s="313"/>
      <c r="KUQ12" s="95"/>
      <c r="KUR12" s="313"/>
      <c r="KUS12" s="313"/>
      <c r="KUT12" s="313"/>
      <c r="KUU12" s="313"/>
      <c r="KUV12" s="313"/>
      <c r="KUW12" s="313"/>
      <c r="KUX12" s="313"/>
      <c r="KUY12" s="95"/>
      <c r="KUZ12" s="313"/>
      <c r="KVA12" s="313"/>
      <c r="KVB12" s="313"/>
      <c r="KVC12" s="313"/>
      <c r="KVD12" s="313"/>
      <c r="KVE12" s="313"/>
      <c r="KVF12" s="313"/>
      <c r="KVG12" s="95"/>
      <c r="KVH12" s="313"/>
      <c r="KVI12" s="313"/>
      <c r="KVJ12" s="313"/>
      <c r="KVK12" s="313"/>
      <c r="KVL12" s="313"/>
      <c r="KVM12" s="313"/>
      <c r="KVN12" s="313"/>
      <c r="KVO12" s="95"/>
      <c r="KVP12" s="313"/>
      <c r="KVQ12" s="313"/>
      <c r="KVR12" s="313"/>
      <c r="KVS12" s="313"/>
      <c r="KVT12" s="313"/>
      <c r="KVU12" s="313"/>
      <c r="KVV12" s="313"/>
      <c r="KVW12" s="95"/>
      <c r="KVX12" s="313"/>
      <c r="KVY12" s="313"/>
      <c r="KVZ12" s="313"/>
      <c r="KWA12" s="313"/>
      <c r="KWB12" s="313"/>
      <c r="KWC12" s="313"/>
      <c r="KWD12" s="313"/>
      <c r="KWE12" s="95"/>
      <c r="KWF12" s="313"/>
      <c r="KWG12" s="313"/>
      <c r="KWH12" s="313"/>
      <c r="KWI12" s="313"/>
      <c r="KWJ12" s="313"/>
      <c r="KWK12" s="313"/>
      <c r="KWL12" s="313"/>
      <c r="KWM12" s="95"/>
      <c r="KWN12" s="313"/>
      <c r="KWO12" s="313"/>
      <c r="KWP12" s="313"/>
      <c r="KWQ12" s="313"/>
      <c r="KWR12" s="313"/>
      <c r="KWS12" s="313"/>
      <c r="KWT12" s="313"/>
      <c r="KWU12" s="95"/>
      <c r="KWV12" s="313"/>
      <c r="KWW12" s="313"/>
      <c r="KWX12" s="313"/>
      <c r="KWY12" s="313"/>
      <c r="KWZ12" s="313"/>
      <c r="KXA12" s="313"/>
      <c r="KXB12" s="313"/>
      <c r="KXC12" s="95"/>
      <c r="KXD12" s="313"/>
      <c r="KXE12" s="313"/>
      <c r="KXF12" s="313"/>
      <c r="KXG12" s="313"/>
      <c r="KXH12" s="313"/>
      <c r="KXI12" s="313"/>
      <c r="KXJ12" s="313"/>
      <c r="KXK12" s="95"/>
      <c r="KXL12" s="313"/>
      <c r="KXM12" s="313"/>
      <c r="KXN12" s="313"/>
      <c r="KXO12" s="313"/>
      <c r="KXP12" s="313"/>
      <c r="KXQ12" s="313"/>
      <c r="KXR12" s="313"/>
      <c r="KXS12" s="95"/>
      <c r="KXT12" s="313"/>
      <c r="KXU12" s="313"/>
      <c r="KXV12" s="313"/>
      <c r="KXW12" s="313"/>
      <c r="KXX12" s="313"/>
      <c r="KXY12" s="313"/>
      <c r="KXZ12" s="313"/>
      <c r="KYA12" s="95"/>
      <c r="KYB12" s="313"/>
      <c r="KYC12" s="313"/>
      <c r="KYD12" s="313"/>
      <c r="KYE12" s="313"/>
      <c r="KYF12" s="313"/>
      <c r="KYG12" s="313"/>
      <c r="KYH12" s="313"/>
      <c r="KYI12" s="95"/>
      <c r="KYJ12" s="313"/>
      <c r="KYK12" s="313"/>
      <c r="KYL12" s="313"/>
      <c r="KYM12" s="313"/>
      <c r="KYN12" s="313"/>
      <c r="KYO12" s="313"/>
      <c r="KYP12" s="313"/>
      <c r="KYQ12" s="95"/>
      <c r="KYR12" s="313"/>
      <c r="KYS12" s="313"/>
      <c r="KYT12" s="313"/>
      <c r="KYU12" s="313"/>
      <c r="KYV12" s="313"/>
      <c r="KYW12" s="313"/>
      <c r="KYX12" s="313"/>
      <c r="KYY12" s="95"/>
      <c r="KYZ12" s="313"/>
      <c r="KZA12" s="313"/>
      <c r="KZB12" s="313"/>
      <c r="KZC12" s="313"/>
      <c r="KZD12" s="313"/>
      <c r="KZE12" s="313"/>
      <c r="KZF12" s="313"/>
      <c r="KZG12" s="95"/>
      <c r="KZH12" s="313"/>
      <c r="KZI12" s="313"/>
      <c r="KZJ12" s="313"/>
      <c r="KZK12" s="313"/>
      <c r="KZL12" s="313"/>
      <c r="KZM12" s="313"/>
      <c r="KZN12" s="313"/>
      <c r="KZO12" s="95"/>
      <c r="KZP12" s="313"/>
      <c r="KZQ12" s="313"/>
      <c r="KZR12" s="313"/>
      <c r="KZS12" s="313"/>
      <c r="KZT12" s="313"/>
      <c r="KZU12" s="313"/>
      <c r="KZV12" s="313"/>
      <c r="KZW12" s="95"/>
      <c r="KZX12" s="313"/>
      <c r="KZY12" s="313"/>
      <c r="KZZ12" s="313"/>
      <c r="LAA12" s="313"/>
      <c r="LAB12" s="313"/>
      <c r="LAC12" s="313"/>
      <c r="LAD12" s="313"/>
      <c r="LAE12" s="95"/>
      <c r="LAF12" s="313"/>
      <c r="LAG12" s="313"/>
      <c r="LAH12" s="313"/>
      <c r="LAI12" s="313"/>
      <c r="LAJ12" s="313"/>
      <c r="LAK12" s="313"/>
      <c r="LAL12" s="313"/>
      <c r="LAM12" s="95"/>
      <c r="LAN12" s="313"/>
      <c r="LAO12" s="313"/>
      <c r="LAP12" s="313"/>
      <c r="LAQ12" s="313"/>
      <c r="LAR12" s="313"/>
      <c r="LAS12" s="313"/>
      <c r="LAT12" s="313"/>
      <c r="LAU12" s="95"/>
      <c r="LAV12" s="313"/>
      <c r="LAW12" s="313"/>
      <c r="LAX12" s="313"/>
      <c r="LAY12" s="313"/>
      <c r="LAZ12" s="313"/>
      <c r="LBA12" s="313"/>
      <c r="LBB12" s="313"/>
      <c r="LBC12" s="95"/>
      <c r="LBD12" s="313"/>
      <c r="LBE12" s="313"/>
      <c r="LBF12" s="313"/>
      <c r="LBG12" s="313"/>
      <c r="LBH12" s="313"/>
      <c r="LBI12" s="313"/>
      <c r="LBJ12" s="313"/>
      <c r="LBK12" s="95"/>
      <c r="LBL12" s="313"/>
      <c r="LBM12" s="313"/>
      <c r="LBN12" s="313"/>
      <c r="LBO12" s="313"/>
      <c r="LBP12" s="313"/>
      <c r="LBQ12" s="313"/>
      <c r="LBR12" s="313"/>
      <c r="LBS12" s="95"/>
      <c r="LBT12" s="313"/>
      <c r="LBU12" s="313"/>
      <c r="LBV12" s="313"/>
      <c r="LBW12" s="313"/>
      <c r="LBX12" s="313"/>
      <c r="LBY12" s="313"/>
      <c r="LBZ12" s="313"/>
      <c r="LCA12" s="95"/>
      <c r="LCB12" s="313"/>
      <c r="LCC12" s="313"/>
      <c r="LCD12" s="313"/>
      <c r="LCE12" s="313"/>
      <c r="LCF12" s="313"/>
      <c r="LCG12" s="313"/>
      <c r="LCH12" s="313"/>
      <c r="LCI12" s="95"/>
      <c r="LCJ12" s="313"/>
      <c r="LCK12" s="313"/>
      <c r="LCL12" s="313"/>
      <c r="LCM12" s="313"/>
      <c r="LCN12" s="313"/>
      <c r="LCO12" s="313"/>
      <c r="LCP12" s="313"/>
      <c r="LCQ12" s="95"/>
      <c r="LCR12" s="313"/>
      <c r="LCS12" s="313"/>
      <c r="LCT12" s="313"/>
      <c r="LCU12" s="313"/>
      <c r="LCV12" s="313"/>
      <c r="LCW12" s="313"/>
      <c r="LCX12" s="313"/>
      <c r="LCY12" s="95"/>
      <c r="LCZ12" s="313"/>
      <c r="LDA12" s="313"/>
      <c r="LDB12" s="313"/>
      <c r="LDC12" s="313"/>
      <c r="LDD12" s="313"/>
      <c r="LDE12" s="313"/>
      <c r="LDF12" s="313"/>
      <c r="LDG12" s="95"/>
      <c r="LDH12" s="313"/>
      <c r="LDI12" s="313"/>
      <c r="LDJ12" s="313"/>
      <c r="LDK12" s="313"/>
      <c r="LDL12" s="313"/>
      <c r="LDM12" s="313"/>
      <c r="LDN12" s="313"/>
      <c r="LDO12" s="95"/>
      <c r="LDP12" s="313"/>
      <c r="LDQ12" s="313"/>
      <c r="LDR12" s="313"/>
      <c r="LDS12" s="313"/>
      <c r="LDT12" s="313"/>
      <c r="LDU12" s="313"/>
      <c r="LDV12" s="313"/>
      <c r="LDW12" s="95"/>
      <c r="LDX12" s="313"/>
      <c r="LDY12" s="313"/>
      <c r="LDZ12" s="313"/>
      <c r="LEA12" s="313"/>
      <c r="LEB12" s="313"/>
      <c r="LEC12" s="313"/>
      <c r="LED12" s="313"/>
      <c r="LEE12" s="95"/>
      <c r="LEF12" s="313"/>
      <c r="LEG12" s="313"/>
      <c r="LEH12" s="313"/>
      <c r="LEI12" s="313"/>
      <c r="LEJ12" s="313"/>
      <c r="LEK12" s="313"/>
      <c r="LEL12" s="313"/>
      <c r="LEM12" s="95"/>
      <c r="LEN12" s="313"/>
      <c r="LEO12" s="313"/>
      <c r="LEP12" s="313"/>
      <c r="LEQ12" s="313"/>
      <c r="LER12" s="313"/>
      <c r="LES12" s="313"/>
      <c r="LET12" s="313"/>
      <c r="LEU12" s="95"/>
      <c r="LEV12" s="313"/>
      <c r="LEW12" s="313"/>
      <c r="LEX12" s="313"/>
      <c r="LEY12" s="313"/>
      <c r="LEZ12" s="313"/>
      <c r="LFA12" s="313"/>
      <c r="LFB12" s="313"/>
      <c r="LFC12" s="95"/>
      <c r="LFD12" s="313"/>
      <c r="LFE12" s="313"/>
      <c r="LFF12" s="313"/>
      <c r="LFG12" s="313"/>
      <c r="LFH12" s="313"/>
      <c r="LFI12" s="313"/>
      <c r="LFJ12" s="313"/>
      <c r="LFK12" s="95"/>
      <c r="LFL12" s="313"/>
      <c r="LFM12" s="313"/>
      <c r="LFN12" s="313"/>
      <c r="LFO12" s="313"/>
      <c r="LFP12" s="313"/>
      <c r="LFQ12" s="313"/>
      <c r="LFR12" s="313"/>
      <c r="LFS12" s="95"/>
      <c r="LFT12" s="313"/>
      <c r="LFU12" s="313"/>
      <c r="LFV12" s="313"/>
      <c r="LFW12" s="313"/>
      <c r="LFX12" s="313"/>
      <c r="LFY12" s="313"/>
      <c r="LFZ12" s="313"/>
      <c r="LGA12" s="95"/>
      <c r="LGB12" s="313"/>
      <c r="LGC12" s="313"/>
      <c r="LGD12" s="313"/>
      <c r="LGE12" s="313"/>
      <c r="LGF12" s="313"/>
      <c r="LGG12" s="313"/>
      <c r="LGH12" s="313"/>
      <c r="LGI12" s="95"/>
      <c r="LGJ12" s="313"/>
      <c r="LGK12" s="313"/>
      <c r="LGL12" s="313"/>
      <c r="LGM12" s="313"/>
      <c r="LGN12" s="313"/>
      <c r="LGO12" s="313"/>
      <c r="LGP12" s="313"/>
      <c r="LGQ12" s="95"/>
      <c r="LGR12" s="313"/>
      <c r="LGS12" s="313"/>
      <c r="LGT12" s="313"/>
      <c r="LGU12" s="313"/>
      <c r="LGV12" s="313"/>
      <c r="LGW12" s="313"/>
      <c r="LGX12" s="313"/>
      <c r="LGY12" s="95"/>
      <c r="LGZ12" s="313"/>
      <c r="LHA12" s="313"/>
      <c r="LHB12" s="313"/>
      <c r="LHC12" s="313"/>
      <c r="LHD12" s="313"/>
      <c r="LHE12" s="313"/>
      <c r="LHF12" s="313"/>
      <c r="LHG12" s="95"/>
      <c r="LHH12" s="313"/>
      <c r="LHI12" s="313"/>
      <c r="LHJ12" s="313"/>
      <c r="LHK12" s="313"/>
      <c r="LHL12" s="313"/>
      <c r="LHM12" s="313"/>
      <c r="LHN12" s="313"/>
      <c r="LHO12" s="95"/>
      <c r="LHP12" s="313"/>
      <c r="LHQ12" s="313"/>
      <c r="LHR12" s="313"/>
      <c r="LHS12" s="313"/>
      <c r="LHT12" s="313"/>
      <c r="LHU12" s="313"/>
      <c r="LHV12" s="313"/>
      <c r="LHW12" s="95"/>
      <c r="LHX12" s="313"/>
      <c r="LHY12" s="313"/>
      <c r="LHZ12" s="313"/>
      <c r="LIA12" s="313"/>
      <c r="LIB12" s="313"/>
      <c r="LIC12" s="313"/>
      <c r="LID12" s="313"/>
      <c r="LIE12" s="95"/>
      <c r="LIF12" s="313"/>
      <c r="LIG12" s="313"/>
      <c r="LIH12" s="313"/>
      <c r="LII12" s="313"/>
      <c r="LIJ12" s="313"/>
      <c r="LIK12" s="313"/>
      <c r="LIL12" s="313"/>
      <c r="LIM12" s="95"/>
      <c r="LIN12" s="313"/>
      <c r="LIO12" s="313"/>
      <c r="LIP12" s="313"/>
      <c r="LIQ12" s="313"/>
      <c r="LIR12" s="313"/>
      <c r="LIS12" s="313"/>
      <c r="LIT12" s="313"/>
      <c r="LIU12" s="95"/>
      <c r="LIV12" s="313"/>
      <c r="LIW12" s="313"/>
      <c r="LIX12" s="313"/>
      <c r="LIY12" s="313"/>
      <c r="LIZ12" s="313"/>
      <c r="LJA12" s="313"/>
      <c r="LJB12" s="313"/>
      <c r="LJC12" s="95"/>
      <c r="LJD12" s="313"/>
      <c r="LJE12" s="313"/>
      <c r="LJF12" s="313"/>
      <c r="LJG12" s="313"/>
      <c r="LJH12" s="313"/>
      <c r="LJI12" s="313"/>
      <c r="LJJ12" s="313"/>
      <c r="LJK12" s="95"/>
      <c r="LJL12" s="313"/>
      <c r="LJM12" s="313"/>
      <c r="LJN12" s="313"/>
      <c r="LJO12" s="313"/>
      <c r="LJP12" s="313"/>
      <c r="LJQ12" s="313"/>
      <c r="LJR12" s="313"/>
      <c r="LJS12" s="95"/>
      <c r="LJT12" s="313"/>
      <c r="LJU12" s="313"/>
      <c r="LJV12" s="313"/>
      <c r="LJW12" s="313"/>
      <c r="LJX12" s="313"/>
      <c r="LJY12" s="313"/>
      <c r="LJZ12" s="313"/>
      <c r="LKA12" s="95"/>
      <c r="LKB12" s="313"/>
      <c r="LKC12" s="313"/>
      <c r="LKD12" s="313"/>
      <c r="LKE12" s="313"/>
      <c r="LKF12" s="313"/>
      <c r="LKG12" s="313"/>
      <c r="LKH12" s="313"/>
      <c r="LKI12" s="95"/>
      <c r="LKJ12" s="313"/>
      <c r="LKK12" s="313"/>
      <c r="LKL12" s="313"/>
      <c r="LKM12" s="313"/>
      <c r="LKN12" s="313"/>
      <c r="LKO12" s="313"/>
      <c r="LKP12" s="313"/>
      <c r="LKQ12" s="95"/>
      <c r="LKR12" s="313"/>
      <c r="LKS12" s="313"/>
      <c r="LKT12" s="313"/>
      <c r="LKU12" s="313"/>
      <c r="LKV12" s="313"/>
      <c r="LKW12" s="313"/>
      <c r="LKX12" s="313"/>
      <c r="LKY12" s="95"/>
      <c r="LKZ12" s="313"/>
      <c r="LLA12" s="313"/>
      <c r="LLB12" s="313"/>
      <c r="LLC12" s="313"/>
      <c r="LLD12" s="313"/>
      <c r="LLE12" s="313"/>
      <c r="LLF12" s="313"/>
      <c r="LLG12" s="95"/>
      <c r="LLH12" s="313"/>
      <c r="LLI12" s="313"/>
      <c r="LLJ12" s="313"/>
      <c r="LLK12" s="313"/>
      <c r="LLL12" s="313"/>
      <c r="LLM12" s="313"/>
      <c r="LLN12" s="313"/>
      <c r="LLO12" s="95"/>
      <c r="LLP12" s="313"/>
      <c r="LLQ12" s="313"/>
      <c r="LLR12" s="313"/>
      <c r="LLS12" s="313"/>
      <c r="LLT12" s="313"/>
      <c r="LLU12" s="313"/>
      <c r="LLV12" s="313"/>
      <c r="LLW12" s="95"/>
      <c r="LLX12" s="313"/>
      <c r="LLY12" s="313"/>
      <c r="LLZ12" s="313"/>
      <c r="LMA12" s="313"/>
      <c r="LMB12" s="313"/>
      <c r="LMC12" s="313"/>
      <c r="LMD12" s="313"/>
      <c r="LME12" s="95"/>
      <c r="LMF12" s="313"/>
      <c r="LMG12" s="313"/>
      <c r="LMH12" s="313"/>
      <c r="LMI12" s="313"/>
      <c r="LMJ12" s="313"/>
      <c r="LMK12" s="313"/>
      <c r="LML12" s="313"/>
      <c r="LMM12" s="95"/>
      <c r="LMN12" s="313"/>
      <c r="LMO12" s="313"/>
      <c r="LMP12" s="313"/>
      <c r="LMQ12" s="313"/>
      <c r="LMR12" s="313"/>
      <c r="LMS12" s="313"/>
      <c r="LMT12" s="313"/>
      <c r="LMU12" s="95"/>
      <c r="LMV12" s="313"/>
      <c r="LMW12" s="313"/>
      <c r="LMX12" s="313"/>
      <c r="LMY12" s="313"/>
      <c r="LMZ12" s="313"/>
      <c r="LNA12" s="313"/>
      <c r="LNB12" s="313"/>
      <c r="LNC12" s="95"/>
      <c r="LND12" s="313"/>
      <c r="LNE12" s="313"/>
      <c r="LNF12" s="313"/>
      <c r="LNG12" s="313"/>
      <c r="LNH12" s="313"/>
      <c r="LNI12" s="313"/>
      <c r="LNJ12" s="313"/>
      <c r="LNK12" s="95"/>
      <c r="LNL12" s="313"/>
      <c r="LNM12" s="313"/>
      <c r="LNN12" s="313"/>
      <c r="LNO12" s="313"/>
      <c r="LNP12" s="313"/>
      <c r="LNQ12" s="313"/>
      <c r="LNR12" s="313"/>
      <c r="LNS12" s="95"/>
      <c r="LNT12" s="313"/>
      <c r="LNU12" s="313"/>
      <c r="LNV12" s="313"/>
      <c r="LNW12" s="313"/>
      <c r="LNX12" s="313"/>
      <c r="LNY12" s="313"/>
      <c r="LNZ12" s="313"/>
      <c r="LOA12" s="95"/>
      <c r="LOB12" s="313"/>
      <c r="LOC12" s="313"/>
      <c r="LOD12" s="313"/>
      <c r="LOE12" s="313"/>
      <c r="LOF12" s="313"/>
      <c r="LOG12" s="313"/>
      <c r="LOH12" s="313"/>
      <c r="LOI12" s="95"/>
      <c r="LOJ12" s="313"/>
      <c r="LOK12" s="313"/>
      <c r="LOL12" s="313"/>
      <c r="LOM12" s="313"/>
      <c r="LON12" s="313"/>
      <c r="LOO12" s="313"/>
      <c r="LOP12" s="313"/>
      <c r="LOQ12" s="95"/>
      <c r="LOR12" s="313"/>
      <c r="LOS12" s="313"/>
      <c r="LOT12" s="313"/>
      <c r="LOU12" s="313"/>
      <c r="LOV12" s="313"/>
      <c r="LOW12" s="313"/>
      <c r="LOX12" s="313"/>
      <c r="LOY12" s="95"/>
      <c r="LOZ12" s="313"/>
      <c r="LPA12" s="313"/>
      <c r="LPB12" s="313"/>
      <c r="LPC12" s="313"/>
      <c r="LPD12" s="313"/>
      <c r="LPE12" s="313"/>
      <c r="LPF12" s="313"/>
      <c r="LPG12" s="95"/>
      <c r="LPH12" s="313"/>
      <c r="LPI12" s="313"/>
      <c r="LPJ12" s="313"/>
      <c r="LPK12" s="313"/>
      <c r="LPL12" s="313"/>
      <c r="LPM12" s="313"/>
      <c r="LPN12" s="313"/>
      <c r="LPO12" s="95"/>
      <c r="LPP12" s="313"/>
      <c r="LPQ12" s="313"/>
      <c r="LPR12" s="313"/>
      <c r="LPS12" s="313"/>
      <c r="LPT12" s="313"/>
      <c r="LPU12" s="313"/>
      <c r="LPV12" s="313"/>
      <c r="LPW12" s="95"/>
      <c r="LPX12" s="313"/>
      <c r="LPY12" s="313"/>
      <c r="LPZ12" s="313"/>
      <c r="LQA12" s="313"/>
      <c r="LQB12" s="313"/>
      <c r="LQC12" s="313"/>
      <c r="LQD12" s="313"/>
      <c r="LQE12" s="95"/>
      <c r="LQF12" s="313"/>
      <c r="LQG12" s="313"/>
      <c r="LQH12" s="313"/>
      <c r="LQI12" s="313"/>
      <c r="LQJ12" s="313"/>
      <c r="LQK12" s="313"/>
      <c r="LQL12" s="313"/>
      <c r="LQM12" s="95"/>
      <c r="LQN12" s="313"/>
      <c r="LQO12" s="313"/>
      <c r="LQP12" s="313"/>
      <c r="LQQ12" s="313"/>
      <c r="LQR12" s="313"/>
      <c r="LQS12" s="313"/>
      <c r="LQT12" s="313"/>
      <c r="LQU12" s="95"/>
      <c r="LQV12" s="313"/>
      <c r="LQW12" s="313"/>
      <c r="LQX12" s="313"/>
      <c r="LQY12" s="313"/>
      <c r="LQZ12" s="313"/>
      <c r="LRA12" s="313"/>
      <c r="LRB12" s="313"/>
      <c r="LRC12" s="95"/>
      <c r="LRD12" s="313"/>
      <c r="LRE12" s="313"/>
      <c r="LRF12" s="313"/>
      <c r="LRG12" s="313"/>
      <c r="LRH12" s="313"/>
      <c r="LRI12" s="313"/>
      <c r="LRJ12" s="313"/>
      <c r="LRK12" s="95"/>
      <c r="LRL12" s="313"/>
      <c r="LRM12" s="313"/>
      <c r="LRN12" s="313"/>
      <c r="LRO12" s="313"/>
      <c r="LRP12" s="313"/>
      <c r="LRQ12" s="313"/>
      <c r="LRR12" s="313"/>
      <c r="LRS12" s="95"/>
      <c r="LRT12" s="313"/>
      <c r="LRU12" s="313"/>
      <c r="LRV12" s="313"/>
      <c r="LRW12" s="313"/>
      <c r="LRX12" s="313"/>
      <c r="LRY12" s="313"/>
      <c r="LRZ12" s="313"/>
      <c r="LSA12" s="95"/>
      <c r="LSB12" s="313"/>
      <c r="LSC12" s="313"/>
      <c r="LSD12" s="313"/>
      <c r="LSE12" s="313"/>
      <c r="LSF12" s="313"/>
      <c r="LSG12" s="313"/>
      <c r="LSH12" s="313"/>
      <c r="LSI12" s="95"/>
      <c r="LSJ12" s="313"/>
      <c r="LSK12" s="313"/>
      <c r="LSL12" s="313"/>
      <c r="LSM12" s="313"/>
      <c r="LSN12" s="313"/>
      <c r="LSO12" s="313"/>
      <c r="LSP12" s="313"/>
      <c r="LSQ12" s="95"/>
      <c r="LSR12" s="313"/>
      <c r="LSS12" s="313"/>
      <c r="LST12" s="313"/>
      <c r="LSU12" s="313"/>
      <c r="LSV12" s="313"/>
      <c r="LSW12" s="313"/>
      <c r="LSX12" s="313"/>
      <c r="LSY12" s="95"/>
      <c r="LSZ12" s="313"/>
      <c r="LTA12" s="313"/>
      <c r="LTB12" s="313"/>
      <c r="LTC12" s="313"/>
      <c r="LTD12" s="313"/>
      <c r="LTE12" s="313"/>
      <c r="LTF12" s="313"/>
      <c r="LTG12" s="95"/>
      <c r="LTH12" s="313"/>
      <c r="LTI12" s="313"/>
      <c r="LTJ12" s="313"/>
      <c r="LTK12" s="313"/>
      <c r="LTL12" s="313"/>
      <c r="LTM12" s="313"/>
      <c r="LTN12" s="313"/>
      <c r="LTO12" s="95"/>
      <c r="LTP12" s="313"/>
      <c r="LTQ12" s="313"/>
      <c r="LTR12" s="313"/>
      <c r="LTS12" s="313"/>
      <c r="LTT12" s="313"/>
      <c r="LTU12" s="313"/>
      <c r="LTV12" s="313"/>
      <c r="LTW12" s="95"/>
      <c r="LTX12" s="313"/>
      <c r="LTY12" s="313"/>
      <c r="LTZ12" s="313"/>
      <c r="LUA12" s="313"/>
      <c r="LUB12" s="313"/>
      <c r="LUC12" s="313"/>
      <c r="LUD12" s="313"/>
      <c r="LUE12" s="95"/>
      <c r="LUF12" s="313"/>
      <c r="LUG12" s="313"/>
      <c r="LUH12" s="313"/>
      <c r="LUI12" s="313"/>
      <c r="LUJ12" s="313"/>
      <c r="LUK12" s="313"/>
      <c r="LUL12" s="313"/>
      <c r="LUM12" s="95"/>
      <c r="LUN12" s="313"/>
      <c r="LUO12" s="313"/>
      <c r="LUP12" s="313"/>
      <c r="LUQ12" s="313"/>
      <c r="LUR12" s="313"/>
      <c r="LUS12" s="313"/>
      <c r="LUT12" s="313"/>
      <c r="LUU12" s="95"/>
      <c r="LUV12" s="313"/>
      <c r="LUW12" s="313"/>
      <c r="LUX12" s="313"/>
      <c r="LUY12" s="313"/>
      <c r="LUZ12" s="313"/>
      <c r="LVA12" s="313"/>
      <c r="LVB12" s="313"/>
      <c r="LVC12" s="95"/>
      <c r="LVD12" s="313"/>
      <c r="LVE12" s="313"/>
      <c r="LVF12" s="313"/>
      <c r="LVG12" s="313"/>
      <c r="LVH12" s="313"/>
      <c r="LVI12" s="313"/>
      <c r="LVJ12" s="313"/>
      <c r="LVK12" s="95"/>
      <c r="LVL12" s="313"/>
      <c r="LVM12" s="313"/>
      <c r="LVN12" s="313"/>
      <c r="LVO12" s="313"/>
      <c r="LVP12" s="313"/>
      <c r="LVQ12" s="313"/>
      <c r="LVR12" s="313"/>
      <c r="LVS12" s="95"/>
      <c r="LVT12" s="313"/>
      <c r="LVU12" s="313"/>
      <c r="LVV12" s="313"/>
      <c r="LVW12" s="313"/>
      <c r="LVX12" s="313"/>
      <c r="LVY12" s="313"/>
      <c r="LVZ12" s="313"/>
      <c r="LWA12" s="95"/>
      <c r="LWB12" s="313"/>
      <c r="LWC12" s="313"/>
      <c r="LWD12" s="313"/>
      <c r="LWE12" s="313"/>
      <c r="LWF12" s="313"/>
      <c r="LWG12" s="313"/>
      <c r="LWH12" s="313"/>
      <c r="LWI12" s="95"/>
      <c r="LWJ12" s="313"/>
      <c r="LWK12" s="313"/>
      <c r="LWL12" s="313"/>
      <c r="LWM12" s="313"/>
      <c r="LWN12" s="313"/>
      <c r="LWO12" s="313"/>
      <c r="LWP12" s="313"/>
      <c r="LWQ12" s="95"/>
      <c r="LWR12" s="313"/>
      <c r="LWS12" s="313"/>
      <c r="LWT12" s="313"/>
      <c r="LWU12" s="313"/>
      <c r="LWV12" s="313"/>
      <c r="LWW12" s="313"/>
      <c r="LWX12" s="313"/>
      <c r="LWY12" s="95"/>
      <c r="LWZ12" s="313"/>
      <c r="LXA12" s="313"/>
      <c r="LXB12" s="313"/>
      <c r="LXC12" s="313"/>
      <c r="LXD12" s="313"/>
      <c r="LXE12" s="313"/>
      <c r="LXF12" s="313"/>
      <c r="LXG12" s="95"/>
      <c r="LXH12" s="313"/>
      <c r="LXI12" s="313"/>
      <c r="LXJ12" s="313"/>
      <c r="LXK12" s="313"/>
      <c r="LXL12" s="313"/>
      <c r="LXM12" s="313"/>
      <c r="LXN12" s="313"/>
      <c r="LXO12" s="95"/>
      <c r="LXP12" s="313"/>
      <c r="LXQ12" s="313"/>
      <c r="LXR12" s="313"/>
      <c r="LXS12" s="313"/>
      <c r="LXT12" s="313"/>
      <c r="LXU12" s="313"/>
      <c r="LXV12" s="313"/>
      <c r="LXW12" s="95"/>
      <c r="LXX12" s="313"/>
      <c r="LXY12" s="313"/>
      <c r="LXZ12" s="313"/>
      <c r="LYA12" s="313"/>
      <c r="LYB12" s="313"/>
      <c r="LYC12" s="313"/>
      <c r="LYD12" s="313"/>
      <c r="LYE12" s="95"/>
      <c r="LYF12" s="313"/>
      <c r="LYG12" s="313"/>
      <c r="LYH12" s="313"/>
      <c r="LYI12" s="313"/>
      <c r="LYJ12" s="313"/>
      <c r="LYK12" s="313"/>
      <c r="LYL12" s="313"/>
      <c r="LYM12" s="95"/>
      <c r="LYN12" s="313"/>
      <c r="LYO12" s="313"/>
      <c r="LYP12" s="313"/>
      <c r="LYQ12" s="313"/>
      <c r="LYR12" s="313"/>
      <c r="LYS12" s="313"/>
      <c r="LYT12" s="313"/>
      <c r="LYU12" s="95"/>
      <c r="LYV12" s="313"/>
      <c r="LYW12" s="313"/>
      <c r="LYX12" s="313"/>
      <c r="LYY12" s="313"/>
      <c r="LYZ12" s="313"/>
      <c r="LZA12" s="313"/>
      <c r="LZB12" s="313"/>
      <c r="LZC12" s="95"/>
      <c r="LZD12" s="313"/>
      <c r="LZE12" s="313"/>
      <c r="LZF12" s="313"/>
      <c r="LZG12" s="313"/>
      <c r="LZH12" s="313"/>
      <c r="LZI12" s="313"/>
      <c r="LZJ12" s="313"/>
      <c r="LZK12" s="95"/>
      <c r="LZL12" s="313"/>
      <c r="LZM12" s="313"/>
      <c r="LZN12" s="313"/>
      <c r="LZO12" s="313"/>
      <c r="LZP12" s="313"/>
      <c r="LZQ12" s="313"/>
      <c r="LZR12" s="313"/>
      <c r="LZS12" s="95"/>
      <c r="LZT12" s="313"/>
      <c r="LZU12" s="313"/>
      <c r="LZV12" s="313"/>
      <c r="LZW12" s="313"/>
      <c r="LZX12" s="313"/>
      <c r="LZY12" s="313"/>
      <c r="LZZ12" s="313"/>
      <c r="MAA12" s="95"/>
      <c r="MAB12" s="313"/>
      <c r="MAC12" s="313"/>
      <c r="MAD12" s="313"/>
      <c r="MAE12" s="313"/>
      <c r="MAF12" s="313"/>
      <c r="MAG12" s="313"/>
      <c r="MAH12" s="313"/>
      <c r="MAI12" s="95"/>
      <c r="MAJ12" s="313"/>
      <c r="MAK12" s="313"/>
      <c r="MAL12" s="313"/>
      <c r="MAM12" s="313"/>
      <c r="MAN12" s="313"/>
      <c r="MAO12" s="313"/>
      <c r="MAP12" s="313"/>
      <c r="MAQ12" s="95"/>
      <c r="MAR12" s="313"/>
      <c r="MAS12" s="313"/>
      <c r="MAT12" s="313"/>
      <c r="MAU12" s="313"/>
      <c r="MAV12" s="313"/>
      <c r="MAW12" s="313"/>
      <c r="MAX12" s="313"/>
      <c r="MAY12" s="95"/>
      <c r="MAZ12" s="313"/>
      <c r="MBA12" s="313"/>
      <c r="MBB12" s="313"/>
      <c r="MBC12" s="313"/>
      <c r="MBD12" s="313"/>
      <c r="MBE12" s="313"/>
      <c r="MBF12" s="313"/>
      <c r="MBG12" s="95"/>
      <c r="MBH12" s="313"/>
      <c r="MBI12" s="313"/>
      <c r="MBJ12" s="313"/>
      <c r="MBK12" s="313"/>
      <c r="MBL12" s="313"/>
      <c r="MBM12" s="313"/>
      <c r="MBN12" s="313"/>
      <c r="MBO12" s="95"/>
      <c r="MBP12" s="313"/>
      <c r="MBQ12" s="313"/>
      <c r="MBR12" s="313"/>
      <c r="MBS12" s="313"/>
      <c r="MBT12" s="313"/>
      <c r="MBU12" s="313"/>
      <c r="MBV12" s="313"/>
      <c r="MBW12" s="95"/>
      <c r="MBX12" s="313"/>
      <c r="MBY12" s="313"/>
      <c r="MBZ12" s="313"/>
      <c r="MCA12" s="313"/>
      <c r="MCB12" s="313"/>
      <c r="MCC12" s="313"/>
      <c r="MCD12" s="313"/>
      <c r="MCE12" s="95"/>
      <c r="MCF12" s="313"/>
      <c r="MCG12" s="313"/>
      <c r="MCH12" s="313"/>
      <c r="MCI12" s="313"/>
      <c r="MCJ12" s="313"/>
      <c r="MCK12" s="313"/>
      <c r="MCL12" s="313"/>
      <c r="MCM12" s="95"/>
      <c r="MCN12" s="313"/>
      <c r="MCO12" s="313"/>
      <c r="MCP12" s="313"/>
      <c r="MCQ12" s="313"/>
      <c r="MCR12" s="313"/>
      <c r="MCS12" s="313"/>
      <c r="MCT12" s="313"/>
      <c r="MCU12" s="95"/>
      <c r="MCV12" s="313"/>
      <c r="MCW12" s="313"/>
      <c r="MCX12" s="313"/>
      <c r="MCY12" s="313"/>
      <c r="MCZ12" s="313"/>
      <c r="MDA12" s="313"/>
      <c r="MDB12" s="313"/>
      <c r="MDC12" s="95"/>
      <c r="MDD12" s="313"/>
      <c r="MDE12" s="313"/>
      <c r="MDF12" s="313"/>
      <c r="MDG12" s="313"/>
      <c r="MDH12" s="313"/>
      <c r="MDI12" s="313"/>
      <c r="MDJ12" s="313"/>
      <c r="MDK12" s="95"/>
      <c r="MDL12" s="313"/>
      <c r="MDM12" s="313"/>
      <c r="MDN12" s="313"/>
      <c r="MDO12" s="313"/>
      <c r="MDP12" s="313"/>
      <c r="MDQ12" s="313"/>
      <c r="MDR12" s="313"/>
      <c r="MDS12" s="95"/>
      <c r="MDT12" s="313"/>
      <c r="MDU12" s="313"/>
      <c r="MDV12" s="313"/>
      <c r="MDW12" s="313"/>
      <c r="MDX12" s="313"/>
      <c r="MDY12" s="313"/>
      <c r="MDZ12" s="313"/>
      <c r="MEA12" s="95"/>
      <c r="MEB12" s="313"/>
      <c r="MEC12" s="313"/>
      <c r="MED12" s="313"/>
      <c r="MEE12" s="313"/>
      <c r="MEF12" s="313"/>
      <c r="MEG12" s="313"/>
      <c r="MEH12" s="313"/>
      <c r="MEI12" s="95"/>
      <c r="MEJ12" s="313"/>
      <c r="MEK12" s="313"/>
      <c r="MEL12" s="313"/>
      <c r="MEM12" s="313"/>
      <c r="MEN12" s="313"/>
      <c r="MEO12" s="313"/>
      <c r="MEP12" s="313"/>
      <c r="MEQ12" s="95"/>
      <c r="MER12" s="313"/>
      <c r="MES12" s="313"/>
      <c r="MET12" s="313"/>
      <c r="MEU12" s="313"/>
      <c r="MEV12" s="313"/>
      <c r="MEW12" s="313"/>
      <c r="MEX12" s="313"/>
      <c r="MEY12" s="95"/>
      <c r="MEZ12" s="313"/>
      <c r="MFA12" s="313"/>
      <c r="MFB12" s="313"/>
      <c r="MFC12" s="313"/>
      <c r="MFD12" s="313"/>
      <c r="MFE12" s="313"/>
      <c r="MFF12" s="313"/>
      <c r="MFG12" s="95"/>
      <c r="MFH12" s="313"/>
      <c r="MFI12" s="313"/>
      <c r="MFJ12" s="313"/>
      <c r="MFK12" s="313"/>
      <c r="MFL12" s="313"/>
      <c r="MFM12" s="313"/>
      <c r="MFN12" s="313"/>
      <c r="MFO12" s="95"/>
      <c r="MFP12" s="313"/>
      <c r="MFQ12" s="313"/>
      <c r="MFR12" s="313"/>
      <c r="MFS12" s="313"/>
      <c r="MFT12" s="313"/>
      <c r="MFU12" s="313"/>
      <c r="MFV12" s="313"/>
      <c r="MFW12" s="95"/>
      <c r="MFX12" s="313"/>
      <c r="MFY12" s="313"/>
      <c r="MFZ12" s="313"/>
      <c r="MGA12" s="313"/>
      <c r="MGB12" s="313"/>
      <c r="MGC12" s="313"/>
      <c r="MGD12" s="313"/>
      <c r="MGE12" s="95"/>
      <c r="MGF12" s="313"/>
      <c r="MGG12" s="313"/>
      <c r="MGH12" s="313"/>
      <c r="MGI12" s="313"/>
      <c r="MGJ12" s="313"/>
      <c r="MGK12" s="313"/>
      <c r="MGL12" s="313"/>
      <c r="MGM12" s="95"/>
      <c r="MGN12" s="313"/>
      <c r="MGO12" s="313"/>
      <c r="MGP12" s="313"/>
      <c r="MGQ12" s="313"/>
      <c r="MGR12" s="313"/>
      <c r="MGS12" s="313"/>
      <c r="MGT12" s="313"/>
      <c r="MGU12" s="95"/>
      <c r="MGV12" s="313"/>
      <c r="MGW12" s="313"/>
      <c r="MGX12" s="313"/>
      <c r="MGY12" s="313"/>
      <c r="MGZ12" s="313"/>
      <c r="MHA12" s="313"/>
      <c r="MHB12" s="313"/>
      <c r="MHC12" s="95"/>
      <c r="MHD12" s="313"/>
      <c r="MHE12" s="313"/>
      <c r="MHF12" s="313"/>
      <c r="MHG12" s="313"/>
      <c r="MHH12" s="313"/>
      <c r="MHI12" s="313"/>
      <c r="MHJ12" s="313"/>
      <c r="MHK12" s="95"/>
      <c r="MHL12" s="313"/>
      <c r="MHM12" s="313"/>
      <c r="MHN12" s="313"/>
      <c r="MHO12" s="313"/>
      <c r="MHP12" s="313"/>
      <c r="MHQ12" s="313"/>
      <c r="MHR12" s="313"/>
      <c r="MHS12" s="95"/>
      <c r="MHT12" s="313"/>
      <c r="MHU12" s="313"/>
      <c r="MHV12" s="313"/>
      <c r="MHW12" s="313"/>
      <c r="MHX12" s="313"/>
      <c r="MHY12" s="313"/>
      <c r="MHZ12" s="313"/>
      <c r="MIA12" s="95"/>
      <c r="MIB12" s="313"/>
      <c r="MIC12" s="313"/>
      <c r="MID12" s="313"/>
      <c r="MIE12" s="313"/>
      <c r="MIF12" s="313"/>
      <c r="MIG12" s="313"/>
      <c r="MIH12" s="313"/>
      <c r="MII12" s="95"/>
      <c r="MIJ12" s="313"/>
      <c r="MIK12" s="313"/>
      <c r="MIL12" s="313"/>
      <c r="MIM12" s="313"/>
      <c r="MIN12" s="313"/>
      <c r="MIO12" s="313"/>
      <c r="MIP12" s="313"/>
      <c r="MIQ12" s="95"/>
      <c r="MIR12" s="313"/>
      <c r="MIS12" s="313"/>
      <c r="MIT12" s="313"/>
      <c r="MIU12" s="313"/>
      <c r="MIV12" s="313"/>
      <c r="MIW12" s="313"/>
      <c r="MIX12" s="313"/>
      <c r="MIY12" s="95"/>
      <c r="MIZ12" s="313"/>
      <c r="MJA12" s="313"/>
      <c r="MJB12" s="313"/>
      <c r="MJC12" s="313"/>
      <c r="MJD12" s="313"/>
      <c r="MJE12" s="313"/>
      <c r="MJF12" s="313"/>
      <c r="MJG12" s="95"/>
      <c r="MJH12" s="313"/>
      <c r="MJI12" s="313"/>
      <c r="MJJ12" s="313"/>
      <c r="MJK12" s="313"/>
      <c r="MJL12" s="313"/>
      <c r="MJM12" s="313"/>
      <c r="MJN12" s="313"/>
      <c r="MJO12" s="95"/>
      <c r="MJP12" s="313"/>
      <c r="MJQ12" s="313"/>
      <c r="MJR12" s="313"/>
      <c r="MJS12" s="313"/>
      <c r="MJT12" s="313"/>
      <c r="MJU12" s="313"/>
      <c r="MJV12" s="313"/>
      <c r="MJW12" s="95"/>
      <c r="MJX12" s="313"/>
      <c r="MJY12" s="313"/>
      <c r="MJZ12" s="313"/>
      <c r="MKA12" s="313"/>
      <c r="MKB12" s="313"/>
      <c r="MKC12" s="313"/>
      <c r="MKD12" s="313"/>
      <c r="MKE12" s="95"/>
      <c r="MKF12" s="313"/>
      <c r="MKG12" s="313"/>
      <c r="MKH12" s="313"/>
      <c r="MKI12" s="313"/>
      <c r="MKJ12" s="313"/>
      <c r="MKK12" s="313"/>
      <c r="MKL12" s="313"/>
      <c r="MKM12" s="95"/>
      <c r="MKN12" s="313"/>
      <c r="MKO12" s="313"/>
      <c r="MKP12" s="313"/>
      <c r="MKQ12" s="313"/>
      <c r="MKR12" s="313"/>
      <c r="MKS12" s="313"/>
      <c r="MKT12" s="313"/>
      <c r="MKU12" s="95"/>
      <c r="MKV12" s="313"/>
      <c r="MKW12" s="313"/>
      <c r="MKX12" s="313"/>
      <c r="MKY12" s="313"/>
      <c r="MKZ12" s="313"/>
      <c r="MLA12" s="313"/>
      <c r="MLB12" s="313"/>
      <c r="MLC12" s="95"/>
      <c r="MLD12" s="313"/>
      <c r="MLE12" s="313"/>
      <c r="MLF12" s="313"/>
      <c r="MLG12" s="313"/>
      <c r="MLH12" s="313"/>
      <c r="MLI12" s="313"/>
      <c r="MLJ12" s="313"/>
      <c r="MLK12" s="95"/>
      <c r="MLL12" s="313"/>
      <c r="MLM12" s="313"/>
      <c r="MLN12" s="313"/>
      <c r="MLO12" s="313"/>
      <c r="MLP12" s="313"/>
      <c r="MLQ12" s="313"/>
      <c r="MLR12" s="313"/>
      <c r="MLS12" s="95"/>
      <c r="MLT12" s="313"/>
      <c r="MLU12" s="313"/>
      <c r="MLV12" s="313"/>
      <c r="MLW12" s="313"/>
      <c r="MLX12" s="313"/>
      <c r="MLY12" s="313"/>
      <c r="MLZ12" s="313"/>
      <c r="MMA12" s="95"/>
      <c r="MMB12" s="313"/>
      <c r="MMC12" s="313"/>
      <c r="MMD12" s="313"/>
      <c r="MME12" s="313"/>
      <c r="MMF12" s="313"/>
      <c r="MMG12" s="313"/>
      <c r="MMH12" s="313"/>
      <c r="MMI12" s="95"/>
      <c r="MMJ12" s="313"/>
      <c r="MMK12" s="313"/>
      <c r="MML12" s="313"/>
      <c r="MMM12" s="313"/>
      <c r="MMN12" s="313"/>
      <c r="MMO12" s="313"/>
      <c r="MMP12" s="313"/>
      <c r="MMQ12" s="95"/>
      <c r="MMR12" s="313"/>
      <c r="MMS12" s="313"/>
      <c r="MMT12" s="313"/>
      <c r="MMU12" s="313"/>
      <c r="MMV12" s="313"/>
      <c r="MMW12" s="313"/>
      <c r="MMX12" s="313"/>
      <c r="MMY12" s="95"/>
      <c r="MMZ12" s="313"/>
      <c r="MNA12" s="313"/>
      <c r="MNB12" s="313"/>
      <c r="MNC12" s="313"/>
      <c r="MND12" s="313"/>
      <c r="MNE12" s="313"/>
      <c r="MNF12" s="313"/>
      <c r="MNG12" s="95"/>
      <c r="MNH12" s="313"/>
      <c r="MNI12" s="313"/>
      <c r="MNJ12" s="313"/>
      <c r="MNK12" s="313"/>
      <c r="MNL12" s="313"/>
      <c r="MNM12" s="313"/>
      <c r="MNN12" s="313"/>
      <c r="MNO12" s="95"/>
      <c r="MNP12" s="313"/>
      <c r="MNQ12" s="313"/>
      <c r="MNR12" s="313"/>
      <c r="MNS12" s="313"/>
      <c r="MNT12" s="313"/>
      <c r="MNU12" s="313"/>
      <c r="MNV12" s="313"/>
      <c r="MNW12" s="95"/>
      <c r="MNX12" s="313"/>
      <c r="MNY12" s="313"/>
      <c r="MNZ12" s="313"/>
      <c r="MOA12" s="313"/>
      <c r="MOB12" s="313"/>
      <c r="MOC12" s="313"/>
      <c r="MOD12" s="313"/>
      <c r="MOE12" s="95"/>
      <c r="MOF12" s="313"/>
      <c r="MOG12" s="313"/>
      <c r="MOH12" s="313"/>
      <c r="MOI12" s="313"/>
      <c r="MOJ12" s="313"/>
      <c r="MOK12" s="313"/>
      <c r="MOL12" s="313"/>
      <c r="MOM12" s="95"/>
      <c r="MON12" s="313"/>
      <c r="MOO12" s="313"/>
      <c r="MOP12" s="313"/>
      <c r="MOQ12" s="313"/>
      <c r="MOR12" s="313"/>
      <c r="MOS12" s="313"/>
      <c r="MOT12" s="313"/>
      <c r="MOU12" s="95"/>
      <c r="MOV12" s="313"/>
      <c r="MOW12" s="313"/>
      <c r="MOX12" s="313"/>
      <c r="MOY12" s="313"/>
      <c r="MOZ12" s="313"/>
      <c r="MPA12" s="313"/>
      <c r="MPB12" s="313"/>
      <c r="MPC12" s="95"/>
      <c r="MPD12" s="313"/>
      <c r="MPE12" s="313"/>
      <c r="MPF12" s="313"/>
      <c r="MPG12" s="313"/>
      <c r="MPH12" s="313"/>
      <c r="MPI12" s="313"/>
      <c r="MPJ12" s="313"/>
      <c r="MPK12" s="95"/>
      <c r="MPL12" s="313"/>
      <c r="MPM12" s="313"/>
      <c r="MPN12" s="313"/>
      <c r="MPO12" s="313"/>
      <c r="MPP12" s="313"/>
      <c r="MPQ12" s="313"/>
      <c r="MPR12" s="313"/>
      <c r="MPS12" s="95"/>
      <c r="MPT12" s="313"/>
      <c r="MPU12" s="313"/>
      <c r="MPV12" s="313"/>
      <c r="MPW12" s="313"/>
      <c r="MPX12" s="313"/>
      <c r="MPY12" s="313"/>
      <c r="MPZ12" s="313"/>
      <c r="MQA12" s="95"/>
      <c r="MQB12" s="313"/>
      <c r="MQC12" s="313"/>
      <c r="MQD12" s="313"/>
      <c r="MQE12" s="313"/>
      <c r="MQF12" s="313"/>
      <c r="MQG12" s="313"/>
      <c r="MQH12" s="313"/>
      <c r="MQI12" s="95"/>
      <c r="MQJ12" s="313"/>
      <c r="MQK12" s="313"/>
      <c r="MQL12" s="313"/>
      <c r="MQM12" s="313"/>
      <c r="MQN12" s="313"/>
      <c r="MQO12" s="313"/>
      <c r="MQP12" s="313"/>
      <c r="MQQ12" s="95"/>
      <c r="MQR12" s="313"/>
      <c r="MQS12" s="313"/>
      <c r="MQT12" s="313"/>
      <c r="MQU12" s="313"/>
      <c r="MQV12" s="313"/>
      <c r="MQW12" s="313"/>
      <c r="MQX12" s="313"/>
      <c r="MQY12" s="95"/>
      <c r="MQZ12" s="313"/>
      <c r="MRA12" s="313"/>
      <c r="MRB12" s="313"/>
      <c r="MRC12" s="313"/>
      <c r="MRD12" s="313"/>
      <c r="MRE12" s="313"/>
      <c r="MRF12" s="313"/>
      <c r="MRG12" s="95"/>
      <c r="MRH12" s="313"/>
      <c r="MRI12" s="313"/>
      <c r="MRJ12" s="313"/>
      <c r="MRK12" s="313"/>
      <c r="MRL12" s="313"/>
      <c r="MRM12" s="313"/>
      <c r="MRN12" s="313"/>
      <c r="MRO12" s="95"/>
      <c r="MRP12" s="313"/>
      <c r="MRQ12" s="313"/>
      <c r="MRR12" s="313"/>
      <c r="MRS12" s="313"/>
      <c r="MRT12" s="313"/>
      <c r="MRU12" s="313"/>
      <c r="MRV12" s="313"/>
      <c r="MRW12" s="95"/>
      <c r="MRX12" s="313"/>
      <c r="MRY12" s="313"/>
      <c r="MRZ12" s="313"/>
      <c r="MSA12" s="313"/>
      <c r="MSB12" s="313"/>
      <c r="MSC12" s="313"/>
      <c r="MSD12" s="313"/>
      <c r="MSE12" s="95"/>
      <c r="MSF12" s="313"/>
      <c r="MSG12" s="313"/>
      <c r="MSH12" s="313"/>
      <c r="MSI12" s="313"/>
      <c r="MSJ12" s="313"/>
      <c r="MSK12" s="313"/>
      <c r="MSL12" s="313"/>
      <c r="MSM12" s="95"/>
      <c r="MSN12" s="313"/>
      <c r="MSO12" s="313"/>
      <c r="MSP12" s="313"/>
      <c r="MSQ12" s="313"/>
      <c r="MSR12" s="313"/>
      <c r="MSS12" s="313"/>
      <c r="MST12" s="313"/>
      <c r="MSU12" s="95"/>
      <c r="MSV12" s="313"/>
      <c r="MSW12" s="313"/>
      <c r="MSX12" s="313"/>
      <c r="MSY12" s="313"/>
      <c r="MSZ12" s="313"/>
      <c r="MTA12" s="313"/>
      <c r="MTB12" s="313"/>
      <c r="MTC12" s="95"/>
      <c r="MTD12" s="313"/>
      <c r="MTE12" s="313"/>
      <c r="MTF12" s="313"/>
      <c r="MTG12" s="313"/>
      <c r="MTH12" s="313"/>
      <c r="MTI12" s="313"/>
      <c r="MTJ12" s="313"/>
      <c r="MTK12" s="95"/>
      <c r="MTL12" s="313"/>
      <c r="MTM12" s="313"/>
      <c r="MTN12" s="313"/>
      <c r="MTO12" s="313"/>
      <c r="MTP12" s="313"/>
      <c r="MTQ12" s="313"/>
      <c r="MTR12" s="313"/>
      <c r="MTS12" s="95"/>
      <c r="MTT12" s="313"/>
      <c r="MTU12" s="313"/>
      <c r="MTV12" s="313"/>
      <c r="MTW12" s="313"/>
      <c r="MTX12" s="313"/>
      <c r="MTY12" s="313"/>
      <c r="MTZ12" s="313"/>
      <c r="MUA12" s="95"/>
      <c r="MUB12" s="313"/>
      <c r="MUC12" s="313"/>
      <c r="MUD12" s="313"/>
      <c r="MUE12" s="313"/>
      <c r="MUF12" s="313"/>
      <c r="MUG12" s="313"/>
      <c r="MUH12" s="313"/>
      <c r="MUI12" s="95"/>
      <c r="MUJ12" s="313"/>
      <c r="MUK12" s="313"/>
      <c r="MUL12" s="313"/>
      <c r="MUM12" s="313"/>
      <c r="MUN12" s="313"/>
      <c r="MUO12" s="313"/>
      <c r="MUP12" s="313"/>
      <c r="MUQ12" s="95"/>
      <c r="MUR12" s="313"/>
      <c r="MUS12" s="313"/>
      <c r="MUT12" s="313"/>
      <c r="MUU12" s="313"/>
      <c r="MUV12" s="313"/>
      <c r="MUW12" s="313"/>
      <c r="MUX12" s="313"/>
      <c r="MUY12" s="95"/>
      <c r="MUZ12" s="313"/>
      <c r="MVA12" s="313"/>
      <c r="MVB12" s="313"/>
      <c r="MVC12" s="313"/>
      <c r="MVD12" s="313"/>
      <c r="MVE12" s="313"/>
      <c r="MVF12" s="313"/>
      <c r="MVG12" s="95"/>
      <c r="MVH12" s="313"/>
      <c r="MVI12" s="313"/>
      <c r="MVJ12" s="313"/>
      <c r="MVK12" s="313"/>
      <c r="MVL12" s="313"/>
      <c r="MVM12" s="313"/>
      <c r="MVN12" s="313"/>
      <c r="MVO12" s="95"/>
      <c r="MVP12" s="313"/>
      <c r="MVQ12" s="313"/>
      <c r="MVR12" s="313"/>
      <c r="MVS12" s="313"/>
      <c r="MVT12" s="313"/>
      <c r="MVU12" s="313"/>
      <c r="MVV12" s="313"/>
      <c r="MVW12" s="95"/>
      <c r="MVX12" s="313"/>
      <c r="MVY12" s="313"/>
      <c r="MVZ12" s="313"/>
      <c r="MWA12" s="313"/>
      <c r="MWB12" s="313"/>
      <c r="MWC12" s="313"/>
      <c r="MWD12" s="313"/>
      <c r="MWE12" s="95"/>
      <c r="MWF12" s="313"/>
      <c r="MWG12" s="313"/>
      <c r="MWH12" s="313"/>
      <c r="MWI12" s="313"/>
      <c r="MWJ12" s="313"/>
      <c r="MWK12" s="313"/>
      <c r="MWL12" s="313"/>
      <c r="MWM12" s="95"/>
      <c r="MWN12" s="313"/>
      <c r="MWO12" s="313"/>
      <c r="MWP12" s="313"/>
      <c r="MWQ12" s="313"/>
      <c r="MWR12" s="313"/>
      <c r="MWS12" s="313"/>
      <c r="MWT12" s="313"/>
      <c r="MWU12" s="95"/>
      <c r="MWV12" s="313"/>
      <c r="MWW12" s="313"/>
      <c r="MWX12" s="313"/>
      <c r="MWY12" s="313"/>
      <c r="MWZ12" s="313"/>
      <c r="MXA12" s="313"/>
      <c r="MXB12" s="313"/>
      <c r="MXC12" s="95"/>
      <c r="MXD12" s="313"/>
      <c r="MXE12" s="313"/>
      <c r="MXF12" s="313"/>
      <c r="MXG12" s="313"/>
      <c r="MXH12" s="313"/>
      <c r="MXI12" s="313"/>
      <c r="MXJ12" s="313"/>
      <c r="MXK12" s="95"/>
      <c r="MXL12" s="313"/>
      <c r="MXM12" s="313"/>
      <c r="MXN12" s="313"/>
      <c r="MXO12" s="313"/>
      <c r="MXP12" s="313"/>
      <c r="MXQ12" s="313"/>
      <c r="MXR12" s="313"/>
      <c r="MXS12" s="95"/>
      <c r="MXT12" s="313"/>
      <c r="MXU12" s="313"/>
      <c r="MXV12" s="313"/>
      <c r="MXW12" s="313"/>
      <c r="MXX12" s="313"/>
      <c r="MXY12" s="313"/>
      <c r="MXZ12" s="313"/>
      <c r="MYA12" s="95"/>
      <c r="MYB12" s="313"/>
      <c r="MYC12" s="313"/>
      <c r="MYD12" s="313"/>
      <c r="MYE12" s="313"/>
      <c r="MYF12" s="313"/>
      <c r="MYG12" s="313"/>
      <c r="MYH12" s="313"/>
      <c r="MYI12" s="95"/>
      <c r="MYJ12" s="313"/>
      <c r="MYK12" s="313"/>
      <c r="MYL12" s="313"/>
      <c r="MYM12" s="313"/>
      <c r="MYN12" s="313"/>
      <c r="MYO12" s="313"/>
      <c r="MYP12" s="313"/>
      <c r="MYQ12" s="95"/>
      <c r="MYR12" s="313"/>
      <c r="MYS12" s="313"/>
      <c r="MYT12" s="313"/>
      <c r="MYU12" s="313"/>
      <c r="MYV12" s="313"/>
      <c r="MYW12" s="313"/>
      <c r="MYX12" s="313"/>
      <c r="MYY12" s="95"/>
      <c r="MYZ12" s="313"/>
      <c r="MZA12" s="313"/>
      <c r="MZB12" s="313"/>
      <c r="MZC12" s="313"/>
      <c r="MZD12" s="313"/>
      <c r="MZE12" s="313"/>
      <c r="MZF12" s="313"/>
      <c r="MZG12" s="95"/>
      <c r="MZH12" s="313"/>
      <c r="MZI12" s="313"/>
      <c r="MZJ12" s="313"/>
      <c r="MZK12" s="313"/>
      <c r="MZL12" s="313"/>
      <c r="MZM12" s="313"/>
      <c r="MZN12" s="313"/>
      <c r="MZO12" s="95"/>
      <c r="MZP12" s="313"/>
      <c r="MZQ12" s="313"/>
      <c r="MZR12" s="313"/>
      <c r="MZS12" s="313"/>
      <c r="MZT12" s="313"/>
      <c r="MZU12" s="313"/>
      <c r="MZV12" s="313"/>
      <c r="MZW12" s="95"/>
      <c r="MZX12" s="313"/>
      <c r="MZY12" s="313"/>
      <c r="MZZ12" s="313"/>
      <c r="NAA12" s="313"/>
      <c r="NAB12" s="313"/>
      <c r="NAC12" s="313"/>
      <c r="NAD12" s="313"/>
      <c r="NAE12" s="95"/>
      <c r="NAF12" s="313"/>
      <c r="NAG12" s="313"/>
      <c r="NAH12" s="313"/>
      <c r="NAI12" s="313"/>
      <c r="NAJ12" s="313"/>
      <c r="NAK12" s="313"/>
      <c r="NAL12" s="313"/>
      <c r="NAM12" s="95"/>
      <c r="NAN12" s="313"/>
      <c r="NAO12" s="313"/>
      <c r="NAP12" s="313"/>
      <c r="NAQ12" s="313"/>
      <c r="NAR12" s="313"/>
      <c r="NAS12" s="313"/>
      <c r="NAT12" s="313"/>
      <c r="NAU12" s="95"/>
      <c r="NAV12" s="313"/>
      <c r="NAW12" s="313"/>
      <c r="NAX12" s="313"/>
      <c r="NAY12" s="313"/>
      <c r="NAZ12" s="313"/>
      <c r="NBA12" s="313"/>
      <c r="NBB12" s="313"/>
      <c r="NBC12" s="95"/>
      <c r="NBD12" s="313"/>
      <c r="NBE12" s="313"/>
      <c r="NBF12" s="313"/>
      <c r="NBG12" s="313"/>
      <c r="NBH12" s="313"/>
      <c r="NBI12" s="313"/>
      <c r="NBJ12" s="313"/>
      <c r="NBK12" s="95"/>
      <c r="NBL12" s="313"/>
      <c r="NBM12" s="313"/>
      <c r="NBN12" s="313"/>
      <c r="NBO12" s="313"/>
      <c r="NBP12" s="313"/>
      <c r="NBQ12" s="313"/>
      <c r="NBR12" s="313"/>
      <c r="NBS12" s="95"/>
      <c r="NBT12" s="313"/>
      <c r="NBU12" s="313"/>
      <c r="NBV12" s="313"/>
      <c r="NBW12" s="313"/>
      <c r="NBX12" s="313"/>
      <c r="NBY12" s="313"/>
      <c r="NBZ12" s="313"/>
      <c r="NCA12" s="95"/>
      <c r="NCB12" s="313"/>
      <c r="NCC12" s="313"/>
      <c r="NCD12" s="313"/>
      <c r="NCE12" s="313"/>
      <c r="NCF12" s="313"/>
      <c r="NCG12" s="313"/>
      <c r="NCH12" s="313"/>
      <c r="NCI12" s="95"/>
      <c r="NCJ12" s="313"/>
      <c r="NCK12" s="313"/>
      <c r="NCL12" s="313"/>
      <c r="NCM12" s="313"/>
      <c r="NCN12" s="313"/>
      <c r="NCO12" s="313"/>
      <c r="NCP12" s="313"/>
      <c r="NCQ12" s="95"/>
      <c r="NCR12" s="313"/>
      <c r="NCS12" s="313"/>
      <c r="NCT12" s="313"/>
      <c r="NCU12" s="313"/>
      <c r="NCV12" s="313"/>
      <c r="NCW12" s="313"/>
      <c r="NCX12" s="313"/>
      <c r="NCY12" s="95"/>
      <c r="NCZ12" s="313"/>
      <c r="NDA12" s="313"/>
      <c r="NDB12" s="313"/>
      <c r="NDC12" s="313"/>
      <c r="NDD12" s="313"/>
      <c r="NDE12" s="313"/>
      <c r="NDF12" s="313"/>
      <c r="NDG12" s="95"/>
      <c r="NDH12" s="313"/>
      <c r="NDI12" s="313"/>
      <c r="NDJ12" s="313"/>
      <c r="NDK12" s="313"/>
      <c r="NDL12" s="313"/>
      <c r="NDM12" s="313"/>
      <c r="NDN12" s="313"/>
      <c r="NDO12" s="95"/>
      <c r="NDP12" s="313"/>
      <c r="NDQ12" s="313"/>
      <c r="NDR12" s="313"/>
      <c r="NDS12" s="313"/>
      <c r="NDT12" s="313"/>
      <c r="NDU12" s="313"/>
      <c r="NDV12" s="313"/>
      <c r="NDW12" s="95"/>
      <c r="NDX12" s="313"/>
      <c r="NDY12" s="313"/>
      <c r="NDZ12" s="313"/>
      <c r="NEA12" s="313"/>
      <c r="NEB12" s="313"/>
      <c r="NEC12" s="313"/>
      <c r="NED12" s="313"/>
      <c r="NEE12" s="95"/>
      <c r="NEF12" s="313"/>
      <c r="NEG12" s="313"/>
      <c r="NEH12" s="313"/>
      <c r="NEI12" s="313"/>
      <c r="NEJ12" s="313"/>
      <c r="NEK12" s="313"/>
      <c r="NEL12" s="313"/>
      <c r="NEM12" s="95"/>
      <c r="NEN12" s="313"/>
      <c r="NEO12" s="313"/>
      <c r="NEP12" s="313"/>
      <c r="NEQ12" s="313"/>
      <c r="NER12" s="313"/>
      <c r="NES12" s="313"/>
      <c r="NET12" s="313"/>
      <c r="NEU12" s="95"/>
      <c r="NEV12" s="313"/>
      <c r="NEW12" s="313"/>
      <c r="NEX12" s="313"/>
      <c r="NEY12" s="313"/>
      <c r="NEZ12" s="313"/>
      <c r="NFA12" s="313"/>
      <c r="NFB12" s="313"/>
      <c r="NFC12" s="95"/>
      <c r="NFD12" s="313"/>
      <c r="NFE12" s="313"/>
      <c r="NFF12" s="313"/>
      <c r="NFG12" s="313"/>
      <c r="NFH12" s="313"/>
      <c r="NFI12" s="313"/>
      <c r="NFJ12" s="313"/>
      <c r="NFK12" s="95"/>
      <c r="NFL12" s="313"/>
      <c r="NFM12" s="313"/>
      <c r="NFN12" s="313"/>
      <c r="NFO12" s="313"/>
      <c r="NFP12" s="313"/>
      <c r="NFQ12" s="313"/>
      <c r="NFR12" s="313"/>
      <c r="NFS12" s="95"/>
      <c r="NFT12" s="313"/>
      <c r="NFU12" s="313"/>
      <c r="NFV12" s="313"/>
      <c r="NFW12" s="313"/>
      <c r="NFX12" s="313"/>
      <c r="NFY12" s="313"/>
      <c r="NFZ12" s="313"/>
      <c r="NGA12" s="95"/>
      <c r="NGB12" s="313"/>
      <c r="NGC12" s="313"/>
      <c r="NGD12" s="313"/>
      <c r="NGE12" s="313"/>
      <c r="NGF12" s="313"/>
      <c r="NGG12" s="313"/>
      <c r="NGH12" s="313"/>
      <c r="NGI12" s="95"/>
      <c r="NGJ12" s="313"/>
      <c r="NGK12" s="313"/>
      <c r="NGL12" s="313"/>
      <c r="NGM12" s="313"/>
      <c r="NGN12" s="313"/>
      <c r="NGO12" s="313"/>
      <c r="NGP12" s="313"/>
      <c r="NGQ12" s="95"/>
      <c r="NGR12" s="313"/>
      <c r="NGS12" s="313"/>
      <c r="NGT12" s="313"/>
      <c r="NGU12" s="313"/>
      <c r="NGV12" s="313"/>
      <c r="NGW12" s="313"/>
      <c r="NGX12" s="313"/>
      <c r="NGY12" s="95"/>
      <c r="NGZ12" s="313"/>
      <c r="NHA12" s="313"/>
      <c r="NHB12" s="313"/>
      <c r="NHC12" s="313"/>
      <c r="NHD12" s="313"/>
      <c r="NHE12" s="313"/>
      <c r="NHF12" s="313"/>
      <c r="NHG12" s="95"/>
      <c r="NHH12" s="313"/>
      <c r="NHI12" s="313"/>
      <c r="NHJ12" s="313"/>
      <c r="NHK12" s="313"/>
      <c r="NHL12" s="313"/>
      <c r="NHM12" s="313"/>
      <c r="NHN12" s="313"/>
      <c r="NHO12" s="95"/>
      <c r="NHP12" s="313"/>
      <c r="NHQ12" s="313"/>
      <c r="NHR12" s="313"/>
      <c r="NHS12" s="313"/>
      <c r="NHT12" s="313"/>
      <c r="NHU12" s="313"/>
      <c r="NHV12" s="313"/>
      <c r="NHW12" s="95"/>
      <c r="NHX12" s="313"/>
      <c r="NHY12" s="313"/>
      <c r="NHZ12" s="313"/>
      <c r="NIA12" s="313"/>
      <c r="NIB12" s="313"/>
      <c r="NIC12" s="313"/>
      <c r="NID12" s="313"/>
      <c r="NIE12" s="95"/>
      <c r="NIF12" s="313"/>
      <c r="NIG12" s="313"/>
      <c r="NIH12" s="313"/>
      <c r="NII12" s="313"/>
      <c r="NIJ12" s="313"/>
      <c r="NIK12" s="313"/>
      <c r="NIL12" s="313"/>
      <c r="NIM12" s="95"/>
      <c r="NIN12" s="313"/>
      <c r="NIO12" s="313"/>
      <c r="NIP12" s="313"/>
      <c r="NIQ12" s="313"/>
      <c r="NIR12" s="313"/>
      <c r="NIS12" s="313"/>
      <c r="NIT12" s="313"/>
      <c r="NIU12" s="95"/>
      <c r="NIV12" s="313"/>
      <c r="NIW12" s="313"/>
      <c r="NIX12" s="313"/>
      <c r="NIY12" s="313"/>
      <c r="NIZ12" s="313"/>
      <c r="NJA12" s="313"/>
      <c r="NJB12" s="313"/>
      <c r="NJC12" s="95"/>
      <c r="NJD12" s="313"/>
      <c r="NJE12" s="313"/>
      <c r="NJF12" s="313"/>
      <c r="NJG12" s="313"/>
      <c r="NJH12" s="313"/>
      <c r="NJI12" s="313"/>
      <c r="NJJ12" s="313"/>
      <c r="NJK12" s="95"/>
      <c r="NJL12" s="313"/>
      <c r="NJM12" s="313"/>
      <c r="NJN12" s="313"/>
      <c r="NJO12" s="313"/>
      <c r="NJP12" s="313"/>
      <c r="NJQ12" s="313"/>
      <c r="NJR12" s="313"/>
      <c r="NJS12" s="95"/>
      <c r="NJT12" s="313"/>
      <c r="NJU12" s="313"/>
      <c r="NJV12" s="313"/>
      <c r="NJW12" s="313"/>
      <c r="NJX12" s="313"/>
      <c r="NJY12" s="313"/>
      <c r="NJZ12" s="313"/>
      <c r="NKA12" s="95"/>
      <c r="NKB12" s="313"/>
      <c r="NKC12" s="313"/>
      <c r="NKD12" s="313"/>
      <c r="NKE12" s="313"/>
      <c r="NKF12" s="313"/>
      <c r="NKG12" s="313"/>
      <c r="NKH12" s="313"/>
      <c r="NKI12" s="95"/>
      <c r="NKJ12" s="313"/>
      <c r="NKK12" s="313"/>
      <c r="NKL12" s="313"/>
      <c r="NKM12" s="313"/>
      <c r="NKN12" s="313"/>
      <c r="NKO12" s="313"/>
      <c r="NKP12" s="313"/>
      <c r="NKQ12" s="95"/>
      <c r="NKR12" s="313"/>
      <c r="NKS12" s="313"/>
      <c r="NKT12" s="313"/>
      <c r="NKU12" s="313"/>
      <c r="NKV12" s="313"/>
      <c r="NKW12" s="313"/>
      <c r="NKX12" s="313"/>
      <c r="NKY12" s="95"/>
      <c r="NKZ12" s="313"/>
      <c r="NLA12" s="313"/>
      <c r="NLB12" s="313"/>
      <c r="NLC12" s="313"/>
      <c r="NLD12" s="313"/>
      <c r="NLE12" s="313"/>
      <c r="NLF12" s="313"/>
      <c r="NLG12" s="95"/>
      <c r="NLH12" s="313"/>
      <c r="NLI12" s="313"/>
      <c r="NLJ12" s="313"/>
      <c r="NLK12" s="313"/>
      <c r="NLL12" s="313"/>
      <c r="NLM12" s="313"/>
      <c r="NLN12" s="313"/>
      <c r="NLO12" s="95"/>
      <c r="NLP12" s="313"/>
      <c r="NLQ12" s="313"/>
      <c r="NLR12" s="313"/>
      <c r="NLS12" s="313"/>
      <c r="NLT12" s="313"/>
      <c r="NLU12" s="313"/>
      <c r="NLV12" s="313"/>
      <c r="NLW12" s="95"/>
      <c r="NLX12" s="313"/>
      <c r="NLY12" s="313"/>
      <c r="NLZ12" s="313"/>
      <c r="NMA12" s="313"/>
      <c r="NMB12" s="313"/>
      <c r="NMC12" s="313"/>
      <c r="NMD12" s="313"/>
      <c r="NME12" s="95"/>
      <c r="NMF12" s="313"/>
      <c r="NMG12" s="313"/>
      <c r="NMH12" s="313"/>
      <c r="NMI12" s="313"/>
      <c r="NMJ12" s="313"/>
      <c r="NMK12" s="313"/>
      <c r="NML12" s="313"/>
      <c r="NMM12" s="95"/>
      <c r="NMN12" s="313"/>
      <c r="NMO12" s="313"/>
      <c r="NMP12" s="313"/>
      <c r="NMQ12" s="313"/>
      <c r="NMR12" s="313"/>
      <c r="NMS12" s="313"/>
      <c r="NMT12" s="313"/>
      <c r="NMU12" s="95"/>
      <c r="NMV12" s="313"/>
      <c r="NMW12" s="313"/>
      <c r="NMX12" s="313"/>
      <c r="NMY12" s="313"/>
      <c r="NMZ12" s="313"/>
      <c r="NNA12" s="313"/>
      <c r="NNB12" s="313"/>
      <c r="NNC12" s="95"/>
      <c r="NND12" s="313"/>
      <c r="NNE12" s="313"/>
      <c r="NNF12" s="313"/>
      <c r="NNG12" s="313"/>
      <c r="NNH12" s="313"/>
      <c r="NNI12" s="313"/>
      <c r="NNJ12" s="313"/>
      <c r="NNK12" s="95"/>
      <c r="NNL12" s="313"/>
      <c r="NNM12" s="313"/>
      <c r="NNN12" s="313"/>
      <c r="NNO12" s="313"/>
      <c r="NNP12" s="313"/>
      <c r="NNQ12" s="313"/>
      <c r="NNR12" s="313"/>
      <c r="NNS12" s="95"/>
      <c r="NNT12" s="313"/>
      <c r="NNU12" s="313"/>
      <c r="NNV12" s="313"/>
      <c r="NNW12" s="313"/>
      <c r="NNX12" s="313"/>
      <c r="NNY12" s="313"/>
      <c r="NNZ12" s="313"/>
      <c r="NOA12" s="95"/>
      <c r="NOB12" s="313"/>
      <c r="NOC12" s="313"/>
      <c r="NOD12" s="313"/>
      <c r="NOE12" s="313"/>
      <c r="NOF12" s="313"/>
      <c r="NOG12" s="313"/>
      <c r="NOH12" s="313"/>
      <c r="NOI12" s="95"/>
      <c r="NOJ12" s="313"/>
      <c r="NOK12" s="313"/>
      <c r="NOL12" s="313"/>
      <c r="NOM12" s="313"/>
      <c r="NON12" s="313"/>
      <c r="NOO12" s="313"/>
      <c r="NOP12" s="313"/>
      <c r="NOQ12" s="95"/>
      <c r="NOR12" s="313"/>
      <c r="NOS12" s="313"/>
      <c r="NOT12" s="313"/>
      <c r="NOU12" s="313"/>
      <c r="NOV12" s="313"/>
      <c r="NOW12" s="313"/>
      <c r="NOX12" s="313"/>
      <c r="NOY12" s="95"/>
      <c r="NOZ12" s="313"/>
      <c r="NPA12" s="313"/>
      <c r="NPB12" s="313"/>
      <c r="NPC12" s="313"/>
      <c r="NPD12" s="313"/>
      <c r="NPE12" s="313"/>
      <c r="NPF12" s="313"/>
      <c r="NPG12" s="95"/>
      <c r="NPH12" s="313"/>
      <c r="NPI12" s="313"/>
      <c r="NPJ12" s="313"/>
      <c r="NPK12" s="313"/>
      <c r="NPL12" s="313"/>
      <c r="NPM12" s="313"/>
      <c r="NPN12" s="313"/>
      <c r="NPO12" s="95"/>
      <c r="NPP12" s="313"/>
      <c r="NPQ12" s="313"/>
      <c r="NPR12" s="313"/>
      <c r="NPS12" s="313"/>
      <c r="NPT12" s="313"/>
      <c r="NPU12" s="313"/>
      <c r="NPV12" s="313"/>
      <c r="NPW12" s="95"/>
      <c r="NPX12" s="313"/>
      <c r="NPY12" s="313"/>
      <c r="NPZ12" s="313"/>
      <c r="NQA12" s="313"/>
      <c r="NQB12" s="313"/>
      <c r="NQC12" s="313"/>
      <c r="NQD12" s="313"/>
      <c r="NQE12" s="95"/>
      <c r="NQF12" s="313"/>
      <c r="NQG12" s="313"/>
      <c r="NQH12" s="313"/>
      <c r="NQI12" s="313"/>
      <c r="NQJ12" s="313"/>
      <c r="NQK12" s="313"/>
      <c r="NQL12" s="313"/>
      <c r="NQM12" s="95"/>
      <c r="NQN12" s="313"/>
      <c r="NQO12" s="313"/>
      <c r="NQP12" s="313"/>
      <c r="NQQ12" s="313"/>
      <c r="NQR12" s="313"/>
      <c r="NQS12" s="313"/>
      <c r="NQT12" s="313"/>
      <c r="NQU12" s="95"/>
      <c r="NQV12" s="313"/>
      <c r="NQW12" s="313"/>
      <c r="NQX12" s="313"/>
      <c r="NQY12" s="313"/>
      <c r="NQZ12" s="313"/>
      <c r="NRA12" s="313"/>
      <c r="NRB12" s="313"/>
      <c r="NRC12" s="95"/>
      <c r="NRD12" s="313"/>
      <c r="NRE12" s="313"/>
      <c r="NRF12" s="313"/>
      <c r="NRG12" s="313"/>
      <c r="NRH12" s="313"/>
      <c r="NRI12" s="313"/>
      <c r="NRJ12" s="313"/>
      <c r="NRK12" s="95"/>
      <c r="NRL12" s="313"/>
      <c r="NRM12" s="313"/>
      <c r="NRN12" s="313"/>
      <c r="NRO12" s="313"/>
      <c r="NRP12" s="313"/>
      <c r="NRQ12" s="313"/>
      <c r="NRR12" s="313"/>
      <c r="NRS12" s="95"/>
      <c r="NRT12" s="313"/>
      <c r="NRU12" s="313"/>
      <c r="NRV12" s="313"/>
      <c r="NRW12" s="313"/>
      <c r="NRX12" s="313"/>
      <c r="NRY12" s="313"/>
      <c r="NRZ12" s="313"/>
      <c r="NSA12" s="95"/>
      <c r="NSB12" s="313"/>
      <c r="NSC12" s="313"/>
      <c r="NSD12" s="313"/>
      <c r="NSE12" s="313"/>
      <c r="NSF12" s="313"/>
      <c r="NSG12" s="313"/>
      <c r="NSH12" s="313"/>
      <c r="NSI12" s="95"/>
      <c r="NSJ12" s="313"/>
      <c r="NSK12" s="313"/>
      <c r="NSL12" s="313"/>
      <c r="NSM12" s="313"/>
      <c r="NSN12" s="313"/>
      <c r="NSO12" s="313"/>
      <c r="NSP12" s="313"/>
      <c r="NSQ12" s="95"/>
      <c r="NSR12" s="313"/>
      <c r="NSS12" s="313"/>
      <c r="NST12" s="313"/>
      <c r="NSU12" s="313"/>
      <c r="NSV12" s="313"/>
      <c r="NSW12" s="313"/>
      <c r="NSX12" s="313"/>
      <c r="NSY12" s="95"/>
      <c r="NSZ12" s="313"/>
      <c r="NTA12" s="313"/>
      <c r="NTB12" s="313"/>
      <c r="NTC12" s="313"/>
      <c r="NTD12" s="313"/>
      <c r="NTE12" s="313"/>
      <c r="NTF12" s="313"/>
      <c r="NTG12" s="95"/>
      <c r="NTH12" s="313"/>
      <c r="NTI12" s="313"/>
      <c r="NTJ12" s="313"/>
      <c r="NTK12" s="313"/>
      <c r="NTL12" s="313"/>
      <c r="NTM12" s="313"/>
      <c r="NTN12" s="313"/>
      <c r="NTO12" s="95"/>
      <c r="NTP12" s="313"/>
      <c r="NTQ12" s="313"/>
      <c r="NTR12" s="313"/>
      <c r="NTS12" s="313"/>
      <c r="NTT12" s="313"/>
      <c r="NTU12" s="313"/>
      <c r="NTV12" s="313"/>
      <c r="NTW12" s="95"/>
      <c r="NTX12" s="313"/>
      <c r="NTY12" s="313"/>
      <c r="NTZ12" s="313"/>
      <c r="NUA12" s="313"/>
      <c r="NUB12" s="313"/>
      <c r="NUC12" s="313"/>
      <c r="NUD12" s="313"/>
      <c r="NUE12" s="95"/>
      <c r="NUF12" s="313"/>
      <c r="NUG12" s="313"/>
      <c r="NUH12" s="313"/>
      <c r="NUI12" s="313"/>
      <c r="NUJ12" s="313"/>
      <c r="NUK12" s="313"/>
      <c r="NUL12" s="313"/>
      <c r="NUM12" s="95"/>
      <c r="NUN12" s="313"/>
      <c r="NUO12" s="313"/>
      <c r="NUP12" s="313"/>
      <c r="NUQ12" s="313"/>
      <c r="NUR12" s="313"/>
      <c r="NUS12" s="313"/>
      <c r="NUT12" s="313"/>
      <c r="NUU12" s="95"/>
      <c r="NUV12" s="313"/>
      <c r="NUW12" s="313"/>
      <c r="NUX12" s="313"/>
      <c r="NUY12" s="313"/>
      <c r="NUZ12" s="313"/>
      <c r="NVA12" s="313"/>
      <c r="NVB12" s="313"/>
      <c r="NVC12" s="95"/>
      <c r="NVD12" s="313"/>
      <c r="NVE12" s="313"/>
      <c r="NVF12" s="313"/>
      <c r="NVG12" s="313"/>
      <c r="NVH12" s="313"/>
      <c r="NVI12" s="313"/>
      <c r="NVJ12" s="313"/>
      <c r="NVK12" s="95"/>
      <c r="NVL12" s="313"/>
      <c r="NVM12" s="313"/>
      <c r="NVN12" s="313"/>
      <c r="NVO12" s="313"/>
      <c r="NVP12" s="313"/>
      <c r="NVQ12" s="313"/>
      <c r="NVR12" s="313"/>
      <c r="NVS12" s="95"/>
      <c r="NVT12" s="313"/>
      <c r="NVU12" s="313"/>
      <c r="NVV12" s="313"/>
      <c r="NVW12" s="313"/>
      <c r="NVX12" s="313"/>
      <c r="NVY12" s="313"/>
      <c r="NVZ12" s="313"/>
      <c r="NWA12" s="95"/>
      <c r="NWB12" s="313"/>
      <c r="NWC12" s="313"/>
      <c r="NWD12" s="313"/>
      <c r="NWE12" s="313"/>
      <c r="NWF12" s="313"/>
      <c r="NWG12" s="313"/>
      <c r="NWH12" s="313"/>
      <c r="NWI12" s="95"/>
      <c r="NWJ12" s="313"/>
      <c r="NWK12" s="313"/>
      <c r="NWL12" s="313"/>
      <c r="NWM12" s="313"/>
      <c r="NWN12" s="313"/>
      <c r="NWO12" s="313"/>
      <c r="NWP12" s="313"/>
      <c r="NWQ12" s="95"/>
      <c r="NWR12" s="313"/>
      <c r="NWS12" s="313"/>
      <c r="NWT12" s="313"/>
      <c r="NWU12" s="313"/>
      <c r="NWV12" s="313"/>
      <c r="NWW12" s="313"/>
      <c r="NWX12" s="313"/>
      <c r="NWY12" s="95"/>
      <c r="NWZ12" s="313"/>
      <c r="NXA12" s="313"/>
      <c r="NXB12" s="313"/>
      <c r="NXC12" s="313"/>
      <c r="NXD12" s="313"/>
      <c r="NXE12" s="313"/>
      <c r="NXF12" s="313"/>
      <c r="NXG12" s="95"/>
      <c r="NXH12" s="313"/>
      <c r="NXI12" s="313"/>
      <c r="NXJ12" s="313"/>
      <c r="NXK12" s="313"/>
      <c r="NXL12" s="313"/>
      <c r="NXM12" s="313"/>
      <c r="NXN12" s="313"/>
      <c r="NXO12" s="95"/>
      <c r="NXP12" s="313"/>
      <c r="NXQ12" s="313"/>
      <c r="NXR12" s="313"/>
      <c r="NXS12" s="313"/>
      <c r="NXT12" s="313"/>
      <c r="NXU12" s="313"/>
      <c r="NXV12" s="313"/>
      <c r="NXW12" s="95"/>
      <c r="NXX12" s="313"/>
      <c r="NXY12" s="313"/>
      <c r="NXZ12" s="313"/>
      <c r="NYA12" s="313"/>
      <c r="NYB12" s="313"/>
      <c r="NYC12" s="313"/>
      <c r="NYD12" s="313"/>
      <c r="NYE12" s="95"/>
      <c r="NYF12" s="313"/>
      <c r="NYG12" s="313"/>
      <c r="NYH12" s="313"/>
      <c r="NYI12" s="313"/>
      <c r="NYJ12" s="313"/>
      <c r="NYK12" s="313"/>
      <c r="NYL12" s="313"/>
      <c r="NYM12" s="95"/>
      <c r="NYN12" s="313"/>
      <c r="NYO12" s="313"/>
      <c r="NYP12" s="313"/>
      <c r="NYQ12" s="313"/>
      <c r="NYR12" s="313"/>
      <c r="NYS12" s="313"/>
      <c r="NYT12" s="313"/>
      <c r="NYU12" s="95"/>
      <c r="NYV12" s="313"/>
      <c r="NYW12" s="313"/>
      <c r="NYX12" s="313"/>
      <c r="NYY12" s="313"/>
      <c r="NYZ12" s="313"/>
      <c r="NZA12" s="313"/>
      <c r="NZB12" s="313"/>
      <c r="NZC12" s="95"/>
      <c r="NZD12" s="313"/>
      <c r="NZE12" s="313"/>
      <c r="NZF12" s="313"/>
      <c r="NZG12" s="313"/>
      <c r="NZH12" s="313"/>
      <c r="NZI12" s="313"/>
      <c r="NZJ12" s="313"/>
      <c r="NZK12" s="95"/>
      <c r="NZL12" s="313"/>
      <c r="NZM12" s="313"/>
      <c r="NZN12" s="313"/>
      <c r="NZO12" s="313"/>
      <c r="NZP12" s="313"/>
      <c r="NZQ12" s="313"/>
      <c r="NZR12" s="313"/>
      <c r="NZS12" s="95"/>
      <c r="NZT12" s="313"/>
      <c r="NZU12" s="313"/>
      <c r="NZV12" s="313"/>
      <c r="NZW12" s="313"/>
      <c r="NZX12" s="313"/>
      <c r="NZY12" s="313"/>
      <c r="NZZ12" s="313"/>
      <c r="OAA12" s="95"/>
      <c r="OAB12" s="313"/>
      <c r="OAC12" s="313"/>
      <c r="OAD12" s="313"/>
      <c r="OAE12" s="313"/>
      <c r="OAF12" s="313"/>
      <c r="OAG12" s="313"/>
      <c r="OAH12" s="313"/>
      <c r="OAI12" s="95"/>
      <c r="OAJ12" s="313"/>
      <c r="OAK12" s="313"/>
      <c r="OAL12" s="313"/>
      <c r="OAM12" s="313"/>
      <c r="OAN12" s="313"/>
      <c r="OAO12" s="313"/>
      <c r="OAP12" s="313"/>
      <c r="OAQ12" s="95"/>
      <c r="OAR12" s="313"/>
      <c r="OAS12" s="313"/>
      <c r="OAT12" s="313"/>
      <c r="OAU12" s="313"/>
      <c r="OAV12" s="313"/>
      <c r="OAW12" s="313"/>
      <c r="OAX12" s="313"/>
      <c r="OAY12" s="95"/>
      <c r="OAZ12" s="313"/>
      <c r="OBA12" s="313"/>
      <c r="OBB12" s="313"/>
      <c r="OBC12" s="313"/>
      <c r="OBD12" s="313"/>
      <c r="OBE12" s="313"/>
      <c r="OBF12" s="313"/>
      <c r="OBG12" s="95"/>
      <c r="OBH12" s="313"/>
      <c r="OBI12" s="313"/>
      <c r="OBJ12" s="313"/>
      <c r="OBK12" s="313"/>
      <c r="OBL12" s="313"/>
      <c r="OBM12" s="313"/>
      <c r="OBN12" s="313"/>
      <c r="OBO12" s="95"/>
      <c r="OBP12" s="313"/>
      <c r="OBQ12" s="313"/>
      <c r="OBR12" s="313"/>
      <c r="OBS12" s="313"/>
      <c r="OBT12" s="313"/>
      <c r="OBU12" s="313"/>
      <c r="OBV12" s="313"/>
      <c r="OBW12" s="95"/>
      <c r="OBX12" s="313"/>
      <c r="OBY12" s="313"/>
      <c r="OBZ12" s="313"/>
      <c r="OCA12" s="313"/>
      <c r="OCB12" s="313"/>
      <c r="OCC12" s="313"/>
      <c r="OCD12" s="313"/>
      <c r="OCE12" s="95"/>
      <c r="OCF12" s="313"/>
      <c r="OCG12" s="313"/>
      <c r="OCH12" s="313"/>
      <c r="OCI12" s="313"/>
      <c r="OCJ12" s="313"/>
      <c r="OCK12" s="313"/>
      <c r="OCL12" s="313"/>
      <c r="OCM12" s="95"/>
      <c r="OCN12" s="313"/>
      <c r="OCO12" s="313"/>
      <c r="OCP12" s="313"/>
      <c r="OCQ12" s="313"/>
      <c r="OCR12" s="313"/>
      <c r="OCS12" s="313"/>
      <c r="OCT12" s="313"/>
      <c r="OCU12" s="95"/>
      <c r="OCV12" s="313"/>
      <c r="OCW12" s="313"/>
      <c r="OCX12" s="313"/>
      <c r="OCY12" s="313"/>
      <c r="OCZ12" s="313"/>
      <c r="ODA12" s="313"/>
      <c r="ODB12" s="313"/>
      <c r="ODC12" s="95"/>
      <c r="ODD12" s="313"/>
      <c r="ODE12" s="313"/>
      <c r="ODF12" s="313"/>
      <c r="ODG12" s="313"/>
      <c r="ODH12" s="313"/>
      <c r="ODI12" s="313"/>
      <c r="ODJ12" s="313"/>
      <c r="ODK12" s="95"/>
      <c r="ODL12" s="313"/>
      <c r="ODM12" s="313"/>
      <c r="ODN12" s="313"/>
      <c r="ODO12" s="313"/>
      <c r="ODP12" s="313"/>
      <c r="ODQ12" s="313"/>
      <c r="ODR12" s="313"/>
      <c r="ODS12" s="95"/>
      <c r="ODT12" s="313"/>
      <c r="ODU12" s="313"/>
      <c r="ODV12" s="313"/>
      <c r="ODW12" s="313"/>
      <c r="ODX12" s="313"/>
      <c r="ODY12" s="313"/>
      <c r="ODZ12" s="313"/>
      <c r="OEA12" s="95"/>
      <c r="OEB12" s="313"/>
      <c r="OEC12" s="313"/>
      <c r="OED12" s="313"/>
      <c r="OEE12" s="313"/>
      <c r="OEF12" s="313"/>
      <c r="OEG12" s="313"/>
      <c r="OEH12" s="313"/>
      <c r="OEI12" s="95"/>
      <c r="OEJ12" s="313"/>
      <c r="OEK12" s="313"/>
      <c r="OEL12" s="313"/>
      <c r="OEM12" s="313"/>
      <c r="OEN12" s="313"/>
      <c r="OEO12" s="313"/>
      <c r="OEP12" s="313"/>
      <c r="OEQ12" s="95"/>
      <c r="OER12" s="313"/>
      <c r="OES12" s="313"/>
      <c r="OET12" s="313"/>
      <c r="OEU12" s="313"/>
      <c r="OEV12" s="313"/>
      <c r="OEW12" s="313"/>
      <c r="OEX12" s="313"/>
      <c r="OEY12" s="95"/>
      <c r="OEZ12" s="313"/>
      <c r="OFA12" s="313"/>
      <c r="OFB12" s="313"/>
      <c r="OFC12" s="313"/>
      <c r="OFD12" s="313"/>
      <c r="OFE12" s="313"/>
      <c r="OFF12" s="313"/>
      <c r="OFG12" s="95"/>
      <c r="OFH12" s="313"/>
      <c r="OFI12" s="313"/>
      <c r="OFJ12" s="313"/>
      <c r="OFK12" s="313"/>
      <c r="OFL12" s="313"/>
      <c r="OFM12" s="313"/>
      <c r="OFN12" s="313"/>
      <c r="OFO12" s="95"/>
      <c r="OFP12" s="313"/>
      <c r="OFQ12" s="313"/>
      <c r="OFR12" s="313"/>
      <c r="OFS12" s="313"/>
      <c r="OFT12" s="313"/>
      <c r="OFU12" s="313"/>
      <c r="OFV12" s="313"/>
      <c r="OFW12" s="95"/>
      <c r="OFX12" s="313"/>
      <c r="OFY12" s="313"/>
      <c r="OFZ12" s="313"/>
      <c r="OGA12" s="313"/>
      <c r="OGB12" s="313"/>
      <c r="OGC12" s="313"/>
      <c r="OGD12" s="313"/>
      <c r="OGE12" s="95"/>
      <c r="OGF12" s="313"/>
      <c r="OGG12" s="313"/>
      <c r="OGH12" s="313"/>
      <c r="OGI12" s="313"/>
      <c r="OGJ12" s="313"/>
      <c r="OGK12" s="313"/>
      <c r="OGL12" s="313"/>
      <c r="OGM12" s="95"/>
      <c r="OGN12" s="313"/>
      <c r="OGO12" s="313"/>
      <c r="OGP12" s="313"/>
      <c r="OGQ12" s="313"/>
      <c r="OGR12" s="313"/>
      <c r="OGS12" s="313"/>
      <c r="OGT12" s="313"/>
      <c r="OGU12" s="95"/>
      <c r="OGV12" s="313"/>
      <c r="OGW12" s="313"/>
      <c r="OGX12" s="313"/>
      <c r="OGY12" s="313"/>
      <c r="OGZ12" s="313"/>
      <c r="OHA12" s="313"/>
      <c r="OHB12" s="313"/>
      <c r="OHC12" s="95"/>
      <c r="OHD12" s="313"/>
      <c r="OHE12" s="313"/>
      <c r="OHF12" s="313"/>
      <c r="OHG12" s="313"/>
      <c r="OHH12" s="313"/>
      <c r="OHI12" s="313"/>
      <c r="OHJ12" s="313"/>
      <c r="OHK12" s="95"/>
      <c r="OHL12" s="313"/>
      <c r="OHM12" s="313"/>
      <c r="OHN12" s="313"/>
      <c r="OHO12" s="313"/>
      <c r="OHP12" s="313"/>
      <c r="OHQ12" s="313"/>
      <c r="OHR12" s="313"/>
      <c r="OHS12" s="95"/>
      <c r="OHT12" s="313"/>
      <c r="OHU12" s="313"/>
      <c r="OHV12" s="313"/>
      <c r="OHW12" s="313"/>
      <c r="OHX12" s="313"/>
      <c r="OHY12" s="313"/>
      <c r="OHZ12" s="313"/>
      <c r="OIA12" s="95"/>
      <c r="OIB12" s="313"/>
      <c r="OIC12" s="313"/>
      <c r="OID12" s="313"/>
      <c r="OIE12" s="313"/>
      <c r="OIF12" s="313"/>
      <c r="OIG12" s="313"/>
      <c r="OIH12" s="313"/>
      <c r="OII12" s="95"/>
      <c r="OIJ12" s="313"/>
      <c r="OIK12" s="313"/>
      <c r="OIL12" s="313"/>
      <c r="OIM12" s="313"/>
      <c r="OIN12" s="313"/>
      <c r="OIO12" s="313"/>
      <c r="OIP12" s="313"/>
      <c r="OIQ12" s="95"/>
      <c r="OIR12" s="313"/>
      <c r="OIS12" s="313"/>
      <c r="OIT12" s="313"/>
      <c r="OIU12" s="313"/>
      <c r="OIV12" s="313"/>
      <c r="OIW12" s="313"/>
      <c r="OIX12" s="313"/>
      <c r="OIY12" s="95"/>
      <c r="OIZ12" s="313"/>
      <c r="OJA12" s="313"/>
      <c r="OJB12" s="313"/>
      <c r="OJC12" s="313"/>
      <c r="OJD12" s="313"/>
      <c r="OJE12" s="313"/>
      <c r="OJF12" s="313"/>
      <c r="OJG12" s="95"/>
      <c r="OJH12" s="313"/>
      <c r="OJI12" s="313"/>
      <c r="OJJ12" s="313"/>
      <c r="OJK12" s="313"/>
      <c r="OJL12" s="313"/>
      <c r="OJM12" s="313"/>
      <c r="OJN12" s="313"/>
      <c r="OJO12" s="95"/>
      <c r="OJP12" s="313"/>
      <c r="OJQ12" s="313"/>
      <c r="OJR12" s="313"/>
      <c r="OJS12" s="313"/>
      <c r="OJT12" s="313"/>
      <c r="OJU12" s="313"/>
      <c r="OJV12" s="313"/>
      <c r="OJW12" s="95"/>
      <c r="OJX12" s="313"/>
      <c r="OJY12" s="313"/>
      <c r="OJZ12" s="313"/>
      <c r="OKA12" s="313"/>
      <c r="OKB12" s="313"/>
      <c r="OKC12" s="313"/>
      <c r="OKD12" s="313"/>
      <c r="OKE12" s="95"/>
      <c r="OKF12" s="313"/>
      <c r="OKG12" s="313"/>
      <c r="OKH12" s="313"/>
      <c r="OKI12" s="313"/>
      <c r="OKJ12" s="313"/>
      <c r="OKK12" s="313"/>
      <c r="OKL12" s="313"/>
      <c r="OKM12" s="95"/>
      <c r="OKN12" s="313"/>
      <c r="OKO12" s="313"/>
      <c r="OKP12" s="313"/>
      <c r="OKQ12" s="313"/>
      <c r="OKR12" s="313"/>
      <c r="OKS12" s="313"/>
      <c r="OKT12" s="313"/>
      <c r="OKU12" s="95"/>
      <c r="OKV12" s="313"/>
      <c r="OKW12" s="313"/>
      <c r="OKX12" s="313"/>
      <c r="OKY12" s="313"/>
      <c r="OKZ12" s="313"/>
      <c r="OLA12" s="313"/>
      <c r="OLB12" s="313"/>
      <c r="OLC12" s="95"/>
      <c r="OLD12" s="313"/>
      <c r="OLE12" s="313"/>
      <c r="OLF12" s="313"/>
      <c r="OLG12" s="313"/>
      <c r="OLH12" s="313"/>
      <c r="OLI12" s="313"/>
      <c r="OLJ12" s="313"/>
      <c r="OLK12" s="95"/>
      <c r="OLL12" s="313"/>
      <c r="OLM12" s="313"/>
      <c r="OLN12" s="313"/>
      <c r="OLO12" s="313"/>
      <c r="OLP12" s="313"/>
      <c r="OLQ12" s="313"/>
      <c r="OLR12" s="313"/>
      <c r="OLS12" s="95"/>
      <c r="OLT12" s="313"/>
      <c r="OLU12" s="313"/>
      <c r="OLV12" s="313"/>
      <c r="OLW12" s="313"/>
      <c r="OLX12" s="313"/>
      <c r="OLY12" s="313"/>
      <c r="OLZ12" s="313"/>
      <c r="OMA12" s="95"/>
      <c r="OMB12" s="313"/>
      <c r="OMC12" s="313"/>
      <c r="OMD12" s="313"/>
      <c r="OME12" s="313"/>
      <c r="OMF12" s="313"/>
      <c r="OMG12" s="313"/>
      <c r="OMH12" s="313"/>
      <c r="OMI12" s="95"/>
      <c r="OMJ12" s="313"/>
      <c r="OMK12" s="313"/>
      <c r="OML12" s="313"/>
      <c r="OMM12" s="313"/>
      <c r="OMN12" s="313"/>
      <c r="OMO12" s="313"/>
      <c r="OMP12" s="313"/>
      <c r="OMQ12" s="95"/>
      <c r="OMR12" s="313"/>
      <c r="OMS12" s="313"/>
      <c r="OMT12" s="313"/>
      <c r="OMU12" s="313"/>
      <c r="OMV12" s="313"/>
      <c r="OMW12" s="313"/>
      <c r="OMX12" s="313"/>
      <c r="OMY12" s="95"/>
      <c r="OMZ12" s="313"/>
      <c r="ONA12" s="313"/>
      <c r="ONB12" s="313"/>
      <c r="ONC12" s="313"/>
      <c r="OND12" s="313"/>
      <c r="ONE12" s="313"/>
      <c r="ONF12" s="313"/>
      <c r="ONG12" s="95"/>
      <c r="ONH12" s="313"/>
      <c r="ONI12" s="313"/>
      <c r="ONJ12" s="313"/>
      <c r="ONK12" s="313"/>
      <c r="ONL12" s="313"/>
      <c r="ONM12" s="313"/>
      <c r="ONN12" s="313"/>
      <c r="ONO12" s="95"/>
      <c r="ONP12" s="313"/>
      <c r="ONQ12" s="313"/>
      <c r="ONR12" s="313"/>
      <c r="ONS12" s="313"/>
      <c r="ONT12" s="313"/>
      <c r="ONU12" s="313"/>
      <c r="ONV12" s="313"/>
      <c r="ONW12" s="95"/>
      <c r="ONX12" s="313"/>
      <c r="ONY12" s="313"/>
      <c r="ONZ12" s="313"/>
      <c r="OOA12" s="313"/>
      <c r="OOB12" s="313"/>
      <c r="OOC12" s="313"/>
      <c r="OOD12" s="313"/>
      <c r="OOE12" s="95"/>
      <c r="OOF12" s="313"/>
      <c r="OOG12" s="313"/>
      <c r="OOH12" s="313"/>
      <c r="OOI12" s="313"/>
      <c r="OOJ12" s="313"/>
      <c r="OOK12" s="313"/>
      <c r="OOL12" s="313"/>
      <c r="OOM12" s="95"/>
      <c r="OON12" s="313"/>
      <c r="OOO12" s="313"/>
      <c r="OOP12" s="313"/>
      <c r="OOQ12" s="313"/>
      <c r="OOR12" s="313"/>
      <c r="OOS12" s="313"/>
      <c r="OOT12" s="313"/>
      <c r="OOU12" s="95"/>
      <c r="OOV12" s="313"/>
      <c r="OOW12" s="313"/>
      <c r="OOX12" s="313"/>
      <c r="OOY12" s="313"/>
      <c r="OOZ12" s="313"/>
      <c r="OPA12" s="313"/>
      <c r="OPB12" s="313"/>
      <c r="OPC12" s="95"/>
      <c r="OPD12" s="313"/>
      <c r="OPE12" s="313"/>
      <c r="OPF12" s="313"/>
      <c r="OPG12" s="313"/>
      <c r="OPH12" s="313"/>
      <c r="OPI12" s="313"/>
      <c r="OPJ12" s="313"/>
      <c r="OPK12" s="95"/>
      <c r="OPL12" s="313"/>
      <c r="OPM12" s="313"/>
      <c r="OPN12" s="313"/>
      <c r="OPO12" s="313"/>
      <c r="OPP12" s="313"/>
      <c r="OPQ12" s="313"/>
      <c r="OPR12" s="313"/>
      <c r="OPS12" s="95"/>
      <c r="OPT12" s="313"/>
      <c r="OPU12" s="313"/>
      <c r="OPV12" s="313"/>
      <c r="OPW12" s="313"/>
      <c r="OPX12" s="313"/>
      <c r="OPY12" s="313"/>
      <c r="OPZ12" s="313"/>
      <c r="OQA12" s="95"/>
      <c r="OQB12" s="313"/>
      <c r="OQC12" s="313"/>
      <c r="OQD12" s="313"/>
      <c r="OQE12" s="313"/>
      <c r="OQF12" s="313"/>
      <c r="OQG12" s="313"/>
      <c r="OQH12" s="313"/>
      <c r="OQI12" s="95"/>
      <c r="OQJ12" s="313"/>
      <c r="OQK12" s="313"/>
      <c r="OQL12" s="313"/>
      <c r="OQM12" s="313"/>
      <c r="OQN12" s="313"/>
      <c r="OQO12" s="313"/>
      <c r="OQP12" s="313"/>
      <c r="OQQ12" s="95"/>
      <c r="OQR12" s="313"/>
      <c r="OQS12" s="313"/>
      <c r="OQT12" s="313"/>
      <c r="OQU12" s="313"/>
      <c r="OQV12" s="313"/>
      <c r="OQW12" s="313"/>
      <c r="OQX12" s="313"/>
      <c r="OQY12" s="95"/>
      <c r="OQZ12" s="313"/>
      <c r="ORA12" s="313"/>
      <c r="ORB12" s="313"/>
      <c r="ORC12" s="313"/>
      <c r="ORD12" s="313"/>
      <c r="ORE12" s="313"/>
      <c r="ORF12" s="313"/>
      <c r="ORG12" s="95"/>
      <c r="ORH12" s="313"/>
      <c r="ORI12" s="313"/>
      <c r="ORJ12" s="313"/>
      <c r="ORK12" s="313"/>
      <c r="ORL12" s="313"/>
      <c r="ORM12" s="313"/>
      <c r="ORN12" s="313"/>
      <c r="ORO12" s="95"/>
      <c r="ORP12" s="313"/>
      <c r="ORQ12" s="313"/>
      <c r="ORR12" s="313"/>
      <c r="ORS12" s="313"/>
      <c r="ORT12" s="313"/>
      <c r="ORU12" s="313"/>
      <c r="ORV12" s="313"/>
      <c r="ORW12" s="95"/>
      <c r="ORX12" s="313"/>
      <c r="ORY12" s="313"/>
      <c r="ORZ12" s="313"/>
      <c r="OSA12" s="313"/>
      <c r="OSB12" s="313"/>
      <c r="OSC12" s="313"/>
      <c r="OSD12" s="313"/>
      <c r="OSE12" s="95"/>
      <c r="OSF12" s="313"/>
      <c r="OSG12" s="313"/>
      <c r="OSH12" s="313"/>
      <c r="OSI12" s="313"/>
      <c r="OSJ12" s="313"/>
      <c r="OSK12" s="313"/>
      <c r="OSL12" s="313"/>
      <c r="OSM12" s="95"/>
      <c r="OSN12" s="313"/>
      <c r="OSO12" s="313"/>
      <c r="OSP12" s="313"/>
      <c r="OSQ12" s="313"/>
      <c r="OSR12" s="313"/>
      <c r="OSS12" s="313"/>
      <c r="OST12" s="313"/>
      <c r="OSU12" s="95"/>
      <c r="OSV12" s="313"/>
      <c r="OSW12" s="313"/>
      <c r="OSX12" s="313"/>
      <c r="OSY12" s="313"/>
      <c r="OSZ12" s="313"/>
      <c r="OTA12" s="313"/>
      <c r="OTB12" s="313"/>
      <c r="OTC12" s="95"/>
      <c r="OTD12" s="313"/>
      <c r="OTE12" s="313"/>
      <c r="OTF12" s="313"/>
      <c r="OTG12" s="313"/>
      <c r="OTH12" s="313"/>
      <c r="OTI12" s="313"/>
      <c r="OTJ12" s="313"/>
      <c r="OTK12" s="95"/>
      <c r="OTL12" s="313"/>
      <c r="OTM12" s="313"/>
      <c r="OTN12" s="313"/>
      <c r="OTO12" s="313"/>
      <c r="OTP12" s="313"/>
      <c r="OTQ12" s="313"/>
      <c r="OTR12" s="313"/>
      <c r="OTS12" s="95"/>
      <c r="OTT12" s="313"/>
      <c r="OTU12" s="313"/>
      <c r="OTV12" s="313"/>
      <c r="OTW12" s="313"/>
      <c r="OTX12" s="313"/>
      <c r="OTY12" s="313"/>
      <c r="OTZ12" s="313"/>
      <c r="OUA12" s="95"/>
      <c r="OUB12" s="313"/>
      <c r="OUC12" s="313"/>
      <c r="OUD12" s="313"/>
      <c r="OUE12" s="313"/>
      <c r="OUF12" s="313"/>
      <c r="OUG12" s="313"/>
      <c r="OUH12" s="313"/>
      <c r="OUI12" s="95"/>
      <c r="OUJ12" s="313"/>
      <c r="OUK12" s="313"/>
      <c r="OUL12" s="313"/>
      <c r="OUM12" s="313"/>
      <c r="OUN12" s="313"/>
      <c r="OUO12" s="313"/>
      <c r="OUP12" s="313"/>
      <c r="OUQ12" s="95"/>
      <c r="OUR12" s="313"/>
      <c r="OUS12" s="313"/>
      <c r="OUT12" s="313"/>
      <c r="OUU12" s="313"/>
      <c r="OUV12" s="313"/>
      <c r="OUW12" s="313"/>
      <c r="OUX12" s="313"/>
      <c r="OUY12" s="95"/>
      <c r="OUZ12" s="313"/>
      <c r="OVA12" s="313"/>
      <c r="OVB12" s="313"/>
      <c r="OVC12" s="313"/>
      <c r="OVD12" s="313"/>
      <c r="OVE12" s="313"/>
      <c r="OVF12" s="313"/>
      <c r="OVG12" s="95"/>
      <c r="OVH12" s="313"/>
      <c r="OVI12" s="313"/>
      <c r="OVJ12" s="313"/>
      <c r="OVK12" s="313"/>
      <c r="OVL12" s="313"/>
      <c r="OVM12" s="313"/>
      <c r="OVN12" s="313"/>
      <c r="OVO12" s="95"/>
      <c r="OVP12" s="313"/>
      <c r="OVQ12" s="313"/>
      <c r="OVR12" s="313"/>
      <c r="OVS12" s="313"/>
      <c r="OVT12" s="313"/>
      <c r="OVU12" s="313"/>
      <c r="OVV12" s="313"/>
      <c r="OVW12" s="95"/>
      <c r="OVX12" s="313"/>
      <c r="OVY12" s="313"/>
      <c r="OVZ12" s="313"/>
      <c r="OWA12" s="313"/>
      <c r="OWB12" s="313"/>
      <c r="OWC12" s="313"/>
      <c r="OWD12" s="313"/>
      <c r="OWE12" s="95"/>
      <c r="OWF12" s="313"/>
      <c r="OWG12" s="313"/>
      <c r="OWH12" s="313"/>
      <c r="OWI12" s="313"/>
      <c r="OWJ12" s="313"/>
      <c r="OWK12" s="313"/>
      <c r="OWL12" s="313"/>
      <c r="OWM12" s="95"/>
      <c r="OWN12" s="313"/>
      <c r="OWO12" s="313"/>
      <c r="OWP12" s="313"/>
      <c r="OWQ12" s="313"/>
      <c r="OWR12" s="313"/>
      <c r="OWS12" s="313"/>
      <c r="OWT12" s="313"/>
      <c r="OWU12" s="95"/>
      <c r="OWV12" s="313"/>
      <c r="OWW12" s="313"/>
      <c r="OWX12" s="313"/>
      <c r="OWY12" s="313"/>
      <c r="OWZ12" s="313"/>
      <c r="OXA12" s="313"/>
      <c r="OXB12" s="313"/>
      <c r="OXC12" s="95"/>
      <c r="OXD12" s="313"/>
      <c r="OXE12" s="313"/>
      <c r="OXF12" s="313"/>
      <c r="OXG12" s="313"/>
      <c r="OXH12" s="313"/>
      <c r="OXI12" s="313"/>
      <c r="OXJ12" s="313"/>
      <c r="OXK12" s="95"/>
      <c r="OXL12" s="313"/>
      <c r="OXM12" s="313"/>
      <c r="OXN12" s="313"/>
      <c r="OXO12" s="313"/>
      <c r="OXP12" s="313"/>
      <c r="OXQ12" s="313"/>
      <c r="OXR12" s="313"/>
      <c r="OXS12" s="95"/>
      <c r="OXT12" s="313"/>
      <c r="OXU12" s="313"/>
      <c r="OXV12" s="313"/>
      <c r="OXW12" s="313"/>
      <c r="OXX12" s="313"/>
      <c r="OXY12" s="313"/>
      <c r="OXZ12" s="313"/>
      <c r="OYA12" s="95"/>
      <c r="OYB12" s="313"/>
      <c r="OYC12" s="313"/>
      <c r="OYD12" s="313"/>
      <c r="OYE12" s="313"/>
      <c r="OYF12" s="313"/>
      <c r="OYG12" s="313"/>
      <c r="OYH12" s="313"/>
      <c r="OYI12" s="95"/>
      <c r="OYJ12" s="313"/>
      <c r="OYK12" s="313"/>
      <c r="OYL12" s="313"/>
      <c r="OYM12" s="313"/>
      <c r="OYN12" s="313"/>
      <c r="OYO12" s="313"/>
      <c r="OYP12" s="313"/>
      <c r="OYQ12" s="95"/>
      <c r="OYR12" s="313"/>
      <c r="OYS12" s="313"/>
      <c r="OYT12" s="313"/>
      <c r="OYU12" s="313"/>
      <c r="OYV12" s="313"/>
      <c r="OYW12" s="313"/>
      <c r="OYX12" s="313"/>
      <c r="OYY12" s="95"/>
      <c r="OYZ12" s="313"/>
      <c r="OZA12" s="313"/>
      <c r="OZB12" s="313"/>
      <c r="OZC12" s="313"/>
      <c r="OZD12" s="313"/>
      <c r="OZE12" s="313"/>
      <c r="OZF12" s="313"/>
      <c r="OZG12" s="95"/>
      <c r="OZH12" s="313"/>
      <c r="OZI12" s="313"/>
      <c r="OZJ12" s="313"/>
      <c r="OZK12" s="313"/>
      <c r="OZL12" s="313"/>
      <c r="OZM12" s="313"/>
      <c r="OZN12" s="313"/>
      <c r="OZO12" s="95"/>
      <c r="OZP12" s="313"/>
      <c r="OZQ12" s="313"/>
      <c r="OZR12" s="313"/>
      <c r="OZS12" s="313"/>
      <c r="OZT12" s="313"/>
      <c r="OZU12" s="313"/>
      <c r="OZV12" s="313"/>
      <c r="OZW12" s="95"/>
      <c r="OZX12" s="313"/>
      <c r="OZY12" s="313"/>
      <c r="OZZ12" s="313"/>
      <c r="PAA12" s="313"/>
      <c r="PAB12" s="313"/>
      <c r="PAC12" s="313"/>
      <c r="PAD12" s="313"/>
      <c r="PAE12" s="95"/>
      <c r="PAF12" s="313"/>
      <c r="PAG12" s="313"/>
      <c r="PAH12" s="313"/>
      <c r="PAI12" s="313"/>
      <c r="PAJ12" s="313"/>
      <c r="PAK12" s="313"/>
      <c r="PAL12" s="313"/>
      <c r="PAM12" s="95"/>
      <c r="PAN12" s="313"/>
      <c r="PAO12" s="313"/>
      <c r="PAP12" s="313"/>
      <c r="PAQ12" s="313"/>
      <c r="PAR12" s="313"/>
      <c r="PAS12" s="313"/>
      <c r="PAT12" s="313"/>
      <c r="PAU12" s="95"/>
      <c r="PAV12" s="313"/>
      <c r="PAW12" s="313"/>
      <c r="PAX12" s="313"/>
      <c r="PAY12" s="313"/>
      <c r="PAZ12" s="313"/>
      <c r="PBA12" s="313"/>
      <c r="PBB12" s="313"/>
      <c r="PBC12" s="95"/>
      <c r="PBD12" s="313"/>
      <c r="PBE12" s="313"/>
      <c r="PBF12" s="313"/>
      <c r="PBG12" s="313"/>
      <c r="PBH12" s="313"/>
      <c r="PBI12" s="313"/>
      <c r="PBJ12" s="313"/>
      <c r="PBK12" s="95"/>
      <c r="PBL12" s="313"/>
      <c r="PBM12" s="313"/>
      <c r="PBN12" s="313"/>
      <c r="PBO12" s="313"/>
      <c r="PBP12" s="313"/>
      <c r="PBQ12" s="313"/>
      <c r="PBR12" s="313"/>
      <c r="PBS12" s="95"/>
      <c r="PBT12" s="313"/>
      <c r="PBU12" s="313"/>
      <c r="PBV12" s="313"/>
      <c r="PBW12" s="313"/>
      <c r="PBX12" s="313"/>
      <c r="PBY12" s="313"/>
      <c r="PBZ12" s="313"/>
      <c r="PCA12" s="95"/>
      <c r="PCB12" s="313"/>
      <c r="PCC12" s="313"/>
      <c r="PCD12" s="313"/>
      <c r="PCE12" s="313"/>
      <c r="PCF12" s="313"/>
      <c r="PCG12" s="313"/>
      <c r="PCH12" s="313"/>
      <c r="PCI12" s="95"/>
      <c r="PCJ12" s="313"/>
      <c r="PCK12" s="313"/>
      <c r="PCL12" s="313"/>
      <c r="PCM12" s="313"/>
      <c r="PCN12" s="313"/>
      <c r="PCO12" s="313"/>
      <c r="PCP12" s="313"/>
      <c r="PCQ12" s="95"/>
      <c r="PCR12" s="313"/>
      <c r="PCS12" s="313"/>
      <c r="PCT12" s="313"/>
      <c r="PCU12" s="313"/>
      <c r="PCV12" s="313"/>
      <c r="PCW12" s="313"/>
      <c r="PCX12" s="313"/>
      <c r="PCY12" s="95"/>
      <c r="PCZ12" s="313"/>
      <c r="PDA12" s="313"/>
      <c r="PDB12" s="313"/>
      <c r="PDC12" s="313"/>
      <c r="PDD12" s="313"/>
      <c r="PDE12" s="313"/>
      <c r="PDF12" s="313"/>
      <c r="PDG12" s="95"/>
      <c r="PDH12" s="313"/>
      <c r="PDI12" s="313"/>
      <c r="PDJ12" s="313"/>
      <c r="PDK12" s="313"/>
      <c r="PDL12" s="313"/>
      <c r="PDM12" s="313"/>
      <c r="PDN12" s="313"/>
      <c r="PDO12" s="95"/>
      <c r="PDP12" s="313"/>
      <c r="PDQ12" s="313"/>
      <c r="PDR12" s="313"/>
      <c r="PDS12" s="313"/>
      <c r="PDT12" s="313"/>
      <c r="PDU12" s="313"/>
      <c r="PDV12" s="313"/>
      <c r="PDW12" s="95"/>
      <c r="PDX12" s="313"/>
      <c r="PDY12" s="313"/>
      <c r="PDZ12" s="313"/>
      <c r="PEA12" s="313"/>
      <c r="PEB12" s="313"/>
      <c r="PEC12" s="313"/>
      <c r="PED12" s="313"/>
      <c r="PEE12" s="95"/>
      <c r="PEF12" s="313"/>
      <c r="PEG12" s="313"/>
      <c r="PEH12" s="313"/>
      <c r="PEI12" s="313"/>
      <c r="PEJ12" s="313"/>
      <c r="PEK12" s="313"/>
      <c r="PEL12" s="313"/>
      <c r="PEM12" s="95"/>
      <c r="PEN12" s="313"/>
      <c r="PEO12" s="313"/>
      <c r="PEP12" s="313"/>
      <c r="PEQ12" s="313"/>
      <c r="PER12" s="313"/>
      <c r="PES12" s="313"/>
      <c r="PET12" s="313"/>
      <c r="PEU12" s="95"/>
      <c r="PEV12" s="313"/>
      <c r="PEW12" s="313"/>
      <c r="PEX12" s="313"/>
      <c r="PEY12" s="313"/>
      <c r="PEZ12" s="313"/>
      <c r="PFA12" s="313"/>
      <c r="PFB12" s="313"/>
      <c r="PFC12" s="95"/>
      <c r="PFD12" s="313"/>
      <c r="PFE12" s="313"/>
      <c r="PFF12" s="313"/>
      <c r="PFG12" s="313"/>
      <c r="PFH12" s="313"/>
      <c r="PFI12" s="313"/>
      <c r="PFJ12" s="313"/>
      <c r="PFK12" s="95"/>
      <c r="PFL12" s="313"/>
      <c r="PFM12" s="313"/>
      <c r="PFN12" s="313"/>
      <c r="PFO12" s="313"/>
      <c r="PFP12" s="313"/>
      <c r="PFQ12" s="313"/>
      <c r="PFR12" s="313"/>
      <c r="PFS12" s="95"/>
      <c r="PFT12" s="313"/>
      <c r="PFU12" s="313"/>
      <c r="PFV12" s="313"/>
      <c r="PFW12" s="313"/>
      <c r="PFX12" s="313"/>
      <c r="PFY12" s="313"/>
      <c r="PFZ12" s="313"/>
      <c r="PGA12" s="95"/>
      <c r="PGB12" s="313"/>
      <c r="PGC12" s="313"/>
      <c r="PGD12" s="313"/>
      <c r="PGE12" s="313"/>
      <c r="PGF12" s="313"/>
      <c r="PGG12" s="313"/>
      <c r="PGH12" s="313"/>
      <c r="PGI12" s="95"/>
      <c r="PGJ12" s="313"/>
      <c r="PGK12" s="313"/>
      <c r="PGL12" s="313"/>
      <c r="PGM12" s="313"/>
      <c r="PGN12" s="313"/>
      <c r="PGO12" s="313"/>
      <c r="PGP12" s="313"/>
      <c r="PGQ12" s="95"/>
      <c r="PGR12" s="313"/>
      <c r="PGS12" s="313"/>
      <c r="PGT12" s="313"/>
      <c r="PGU12" s="313"/>
      <c r="PGV12" s="313"/>
      <c r="PGW12" s="313"/>
      <c r="PGX12" s="313"/>
      <c r="PGY12" s="95"/>
      <c r="PGZ12" s="313"/>
      <c r="PHA12" s="313"/>
      <c r="PHB12" s="313"/>
      <c r="PHC12" s="313"/>
      <c r="PHD12" s="313"/>
      <c r="PHE12" s="313"/>
      <c r="PHF12" s="313"/>
      <c r="PHG12" s="95"/>
      <c r="PHH12" s="313"/>
      <c r="PHI12" s="313"/>
      <c r="PHJ12" s="313"/>
      <c r="PHK12" s="313"/>
      <c r="PHL12" s="313"/>
      <c r="PHM12" s="313"/>
      <c r="PHN12" s="313"/>
      <c r="PHO12" s="95"/>
      <c r="PHP12" s="313"/>
      <c r="PHQ12" s="313"/>
      <c r="PHR12" s="313"/>
      <c r="PHS12" s="313"/>
      <c r="PHT12" s="313"/>
      <c r="PHU12" s="313"/>
      <c r="PHV12" s="313"/>
      <c r="PHW12" s="95"/>
      <c r="PHX12" s="313"/>
      <c r="PHY12" s="313"/>
      <c r="PHZ12" s="313"/>
      <c r="PIA12" s="313"/>
      <c r="PIB12" s="313"/>
      <c r="PIC12" s="313"/>
      <c r="PID12" s="313"/>
      <c r="PIE12" s="95"/>
      <c r="PIF12" s="313"/>
      <c r="PIG12" s="313"/>
      <c r="PIH12" s="313"/>
      <c r="PII12" s="313"/>
      <c r="PIJ12" s="313"/>
      <c r="PIK12" s="313"/>
      <c r="PIL12" s="313"/>
      <c r="PIM12" s="95"/>
      <c r="PIN12" s="313"/>
      <c r="PIO12" s="313"/>
      <c r="PIP12" s="313"/>
      <c r="PIQ12" s="313"/>
      <c r="PIR12" s="313"/>
      <c r="PIS12" s="313"/>
      <c r="PIT12" s="313"/>
      <c r="PIU12" s="95"/>
      <c r="PIV12" s="313"/>
      <c r="PIW12" s="313"/>
      <c r="PIX12" s="313"/>
      <c r="PIY12" s="313"/>
      <c r="PIZ12" s="313"/>
      <c r="PJA12" s="313"/>
      <c r="PJB12" s="313"/>
      <c r="PJC12" s="95"/>
      <c r="PJD12" s="313"/>
      <c r="PJE12" s="313"/>
      <c r="PJF12" s="313"/>
      <c r="PJG12" s="313"/>
      <c r="PJH12" s="313"/>
      <c r="PJI12" s="313"/>
      <c r="PJJ12" s="313"/>
      <c r="PJK12" s="95"/>
      <c r="PJL12" s="313"/>
      <c r="PJM12" s="313"/>
      <c r="PJN12" s="313"/>
      <c r="PJO12" s="313"/>
      <c r="PJP12" s="313"/>
      <c r="PJQ12" s="313"/>
      <c r="PJR12" s="313"/>
      <c r="PJS12" s="95"/>
      <c r="PJT12" s="313"/>
      <c r="PJU12" s="313"/>
      <c r="PJV12" s="313"/>
      <c r="PJW12" s="313"/>
      <c r="PJX12" s="313"/>
      <c r="PJY12" s="313"/>
      <c r="PJZ12" s="313"/>
      <c r="PKA12" s="95"/>
      <c r="PKB12" s="313"/>
      <c r="PKC12" s="313"/>
      <c r="PKD12" s="313"/>
      <c r="PKE12" s="313"/>
      <c r="PKF12" s="313"/>
      <c r="PKG12" s="313"/>
      <c r="PKH12" s="313"/>
      <c r="PKI12" s="95"/>
      <c r="PKJ12" s="313"/>
      <c r="PKK12" s="313"/>
      <c r="PKL12" s="313"/>
      <c r="PKM12" s="313"/>
      <c r="PKN12" s="313"/>
      <c r="PKO12" s="313"/>
      <c r="PKP12" s="313"/>
      <c r="PKQ12" s="95"/>
      <c r="PKR12" s="313"/>
      <c r="PKS12" s="313"/>
      <c r="PKT12" s="313"/>
      <c r="PKU12" s="313"/>
      <c r="PKV12" s="313"/>
      <c r="PKW12" s="313"/>
      <c r="PKX12" s="313"/>
      <c r="PKY12" s="95"/>
      <c r="PKZ12" s="313"/>
      <c r="PLA12" s="313"/>
      <c r="PLB12" s="313"/>
      <c r="PLC12" s="313"/>
      <c r="PLD12" s="313"/>
      <c r="PLE12" s="313"/>
      <c r="PLF12" s="313"/>
      <c r="PLG12" s="95"/>
      <c r="PLH12" s="313"/>
      <c r="PLI12" s="313"/>
      <c r="PLJ12" s="313"/>
      <c r="PLK12" s="313"/>
      <c r="PLL12" s="313"/>
      <c r="PLM12" s="313"/>
      <c r="PLN12" s="313"/>
      <c r="PLO12" s="95"/>
      <c r="PLP12" s="313"/>
      <c r="PLQ12" s="313"/>
      <c r="PLR12" s="313"/>
      <c r="PLS12" s="313"/>
      <c r="PLT12" s="313"/>
      <c r="PLU12" s="313"/>
      <c r="PLV12" s="313"/>
      <c r="PLW12" s="95"/>
      <c r="PLX12" s="313"/>
      <c r="PLY12" s="313"/>
      <c r="PLZ12" s="313"/>
      <c r="PMA12" s="313"/>
      <c r="PMB12" s="313"/>
      <c r="PMC12" s="313"/>
      <c r="PMD12" s="313"/>
      <c r="PME12" s="95"/>
      <c r="PMF12" s="313"/>
      <c r="PMG12" s="313"/>
      <c r="PMH12" s="313"/>
      <c r="PMI12" s="313"/>
      <c r="PMJ12" s="313"/>
      <c r="PMK12" s="313"/>
      <c r="PML12" s="313"/>
      <c r="PMM12" s="95"/>
      <c r="PMN12" s="313"/>
      <c r="PMO12" s="313"/>
      <c r="PMP12" s="313"/>
      <c r="PMQ12" s="313"/>
      <c r="PMR12" s="313"/>
      <c r="PMS12" s="313"/>
      <c r="PMT12" s="313"/>
      <c r="PMU12" s="95"/>
      <c r="PMV12" s="313"/>
      <c r="PMW12" s="313"/>
      <c r="PMX12" s="313"/>
      <c r="PMY12" s="313"/>
      <c r="PMZ12" s="313"/>
      <c r="PNA12" s="313"/>
      <c r="PNB12" s="313"/>
      <c r="PNC12" s="95"/>
      <c r="PND12" s="313"/>
      <c r="PNE12" s="313"/>
      <c r="PNF12" s="313"/>
      <c r="PNG12" s="313"/>
      <c r="PNH12" s="313"/>
      <c r="PNI12" s="313"/>
      <c r="PNJ12" s="313"/>
      <c r="PNK12" s="95"/>
      <c r="PNL12" s="313"/>
      <c r="PNM12" s="313"/>
      <c r="PNN12" s="313"/>
      <c r="PNO12" s="313"/>
      <c r="PNP12" s="313"/>
      <c r="PNQ12" s="313"/>
      <c r="PNR12" s="313"/>
      <c r="PNS12" s="95"/>
      <c r="PNT12" s="313"/>
      <c r="PNU12" s="313"/>
      <c r="PNV12" s="313"/>
      <c r="PNW12" s="313"/>
      <c r="PNX12" s="313"/>
      <c r="PNY12" s="313"/>
      <c r="PNZ12" s="313"/>
      <c r="POA12" s="95"/>
      <c r="POB12" s="313"/>
      <c r="POC12" s="313"/>
      <c r="POD12" s="313"/>
      <c r="POE12" s="313"/>
      <c r="POF12" s="313"/>
      <c r="POG12" s="313"/>
      <c r="POH12" s="313"/>
      <c r="POI12" s="95"/>
      <c r="POJ12" s="313"/>
      <c r="POK12" s="313"/>
      <c r="POL12" s="313"/>
      <c r="POM12" s="313"/>
      <c r="PON12" s="313"/>
      <c r="POO12" s="313"/>
      <c r="POP12" s="313"/>
      <c r="POQ12" s="95"/>
      <c r="POR12" s="313"/>
      <c r="POS12" s="313"/>
      <c r="POT12" s="313"/>
      <c r="POU12" s="313"/>
      <c r="POV12" s="313"/>
      <c r="POW12" s="313"/>
      <c r="POX12" s="313"/>
      <c r="POY12" s="95"/>
      <c r="POZ12" s="313"/>
      <c r="PPA12" s="313"/>
      <c r="PPB12" s="313"/>
      <c r="PPC12" s="313"/>
      <c r="PPD12" s="313"/>
      <c r="PPE12" s="313"/>
      <c r="PPF12" s="313"/>
      <c r="PPG12" s="95"/>
      <c r="PPH12" s="313"/>
      <c r="PPI12" s="313"/>
      <c r="PPJ12" s="313"/>
      <c r="PPK12" s="313"/>
      <c r="PPL12" s="313"/>
      <c r="PPM12" s="313"/>
      <c r="PPN12" s="313"/>
      <c r="PPO12" s="95"/>
      <c r="PPP12" s="313"/>
      <c r="PPQ12" s="313"/>
      <c r="PPR12" s="313"/>
      <c r="PPS12" s="313"/>
      <c r="PPT12" s="313"/>
      <c r="PPU12" s="313"/>
      <c r="PPV12" s="313"/>
      <c r="PPW12" s="95"/>
      <c r="PPX12" s="313"/>
      <c r="PPY12" s="313"/>
      <c r="PPZ12" s="313"/>
      <c r="PQA12" s="313"/>
      <c r="PQB12" s="313"/>
      <c r="PQC12" s="313"/>
      <c r="PQD12" s="313"/>
      <c r="PQE12" s="95"/>
      <c r="PQF12" s="313"/>
      <c r="PQG12" s="313"/>
      <c r="PQH12" s="313"/>
      <c r="PQI12" s="313"/>
      <c r="PQJ12" s="313"/>
      <c r="PQK12" s="313"/>
      <c r="PQL12" s="313"/>
      <c r="PQM12" s="95"/>
      <c r="PQN12" s="313"/>
      <c r="PQO12" s="313"/>
      <c r="PQP12" s="313"/>
      <c r="PQQ12" s="313"/>
      <c r="PQR12" s="313"/>
      <c r="PQS12" s="313"/>
      <c r="PQT12" s="313"/>
      <c r="PQU12" s="95"/>
      <c r="PQV12" s="313"/>
      <c r="PQW12" s="313"/>
      <c r="PQX12" s="313"/>
      <c r="PQY12" s="313"/>
      <c r="PQZ12" s="313"/>
      <c r="PRA12" s="313"/>
      <c r="PRB12" s="313"/>
      <c r="PRC12" s="95"/>
      <c r="PRD12" s="313"/>
      <c r="PRE12" s="313"/>
      <c r="PRF12" s="313"/>
      <c r="PRG12" s="313"/>
      <c r="PRH12" s="313"/>
      <c r="PRI12" s="313"/>
      <c r="PRJ12" s="313"/>
      <c r="PRK12" s="95"/>
      <c r="PRL12" s="313"/>
      <c r="PRM12" s="313"/>
      <c r="PRN12" s="313"/>
      <c r="PRO12" s="313"/>
      <c r="PRP12" s="313"/>
      <c r="PRQ12" s="313"/>
      <c r="PRR12" s="313"/>
      <c r="PRS12" s="95"/>
      <c r="PRT12" s="313"/>
      <c r="PRU12" s="313"/>
      <c r="PRV12" s="313"/>
      <c r="PRW12" s="313"/>
      <c r="PRX12" s="313"/>
      <c r="PRY12" s="313"/>
      <c r="PRZ12" s="313"/>
      <c r="PSA12" s="95"/>
      <c r="PSB12" s="313"/>
      <c r="PSC12" s="313"/>
      <c r="PSD12" s="313"/>
      <c r="PSE12" s="313"/>
      <c r="PSF12" s="313"/>
      <c r="PSG12" s="313"/>
      <c r="PSH12" s="313"/>
      <c r="PSI12" s="95"/>
      <c r="PSJ12" s="313"/>
      <c r="PSK12" s="313"/>
      <c r="PSL12" s="313"/>
      <c r="PSM12" s="313"/>
      <c r="PSN12" s="313"/>
      <c r="PSO12" s="313"/>
      <c r="PSP12" s="313"/>
      <c r="PSQ12" s="95"/>
      <c r="PSR12" s="313"/>
      <c r="PSS12" s="313"/>
      <c r="PST12" s="313"/>
      <c r="PSU12" s="313"/>
      <c r="PSV12" s="313"/>
      <c r="PSW12" s="313"/>
      <c r="PSX12" s="313"/>
      <c r="PSY12" s="95"/>
      <c r="PSZ12" s="313"/>
      <c r="PTA12" s="313"/>
      <c r="PTB12" s="313"/>
      <c r="PTC12" s="313"/>
      <c r="PTD12" s="313"/>
      <c r="PTE12" s="313"/>
      <c r="PTF12" s="313"/>
      <c r="PTG12" s="95"/>
      <c r="PTH12" s="313"/>
      <c r="PTI12" s="313"/>
      <c r="PTJ12" s="313"/>
      <c r="PTK12" s="313"/>
      <c r="PTL12" s="313"/>
      <c r="PTM12" s="313"/>
      <c r="PTN12" s="313"/>
      <c r="PTO12" s="95"/>
      <c r="PTP12" s="313"/>
      <c r="PTQ12" s="313"/>
      <c r="PTR12" s="313"/>
      <c r="PTS12" s="313"/>
      <c r="PTT12" s="313"/>
      <c r="PTU12" s="313"/>
      <c r="PTV12" s="313"/>
      <c r="PTW12" s="95"/>
      <c r="PTX12" s="313"/>
      <c r="PTY12" s="313"/>
      <c r="PTZ12" s="313"/>
      <c r="PUA12" s="313"/>
      <c r="PUB12" s="313"/>
      <c r="PUC12" s="313"/>
      <c r="PUD12" s="313"/>
      <c r="PUE12" s="95"/>
      <c r="PUF12" s="313"/>
      <c r="PUG12" s="313"/>
      <c r="PUH12" s="313"/>
      <c r="PUI12" s="313"/>
      <c r="PUJ12" s="313"/>
      <c r="PUK12" s="313"/>
      <c r="PUL12" s="313"/>
      <c r="PUM12" s="95"/>
      <c r="PUN12" s="313"/>
      <c r="PUO12" s="313"/>
      <c r="PUP12" s="313"/>
      <c r="PUQ12" s="313"/>
      <c r="PUR12" s="313"/>
      <c r="PUS12" s="313"/>
      <c r="PUT12" s="313"/>
      <c r="PUU12" s="95"/>
      <c r="PUV12" s="313"/>
      <c r="PUW12" s="313"/>
      <c r="PUX12" s="313"/>
      <c r="PUY12" s="313"/>
      <c r="PUZ12" s="313"/>
      <c r="PVA12" s="313"/>
      <c r="PVB12" s="313"/>
      <c r="PVC12" s="95"/>
      <c r="PVD12" s="313"/>
      <c r="PVE12" s="313"/>
      <c r="PVF12" s="313"/>
      <c r="PVG12" s="313"/>
      <c r="PVH12" s="313"/>
      <c r="PVI12" s="313"/>
      <c r="PVJ12" s="313"/>
      <c r="PVK12" s="95"/>
      <c r="PVL12" s="313"/>
      <c r="PVM12" s="313"/>
      <c r="PVN12" s="313"/>
      <c r="PVO12" s="313"/>
      <c r="PVP12" s="313"/>
      <c r="PVQ12" s="313"/>
      <c r="PVR12" s="313"/>
      <c r="PVS12" s="95"/>
      <c r="PVT12" s="313"/>
      <c r="PVU12" s="313"/>
      <c r="PVV12" s="313"/>
      <c r="PVW12" s="313"/>
      <c r="PVX12" s="313"/>
      <c r="PVY12" s="313"/>
      <c r="PVZ12" s="313"/>
      <c r="PWA12" s="95"/>
      <c r="PWB12" s="313"/>
      <c r="PWC12" s="313"/>
      <c r="PWD12" s="313"/>
      <c r="PWE12" s="313"/>
      <c r="PWF12" s="313"/>
      <c r="PWG12" s="313"/>
      <c r="PWH12" s="313"/>
      <c r="PWI12" s="95"/>
      <c r="PWJ12" s="313"/>
      <c r="PWK12" s="313"/>
      <c r="PWL12" s="313"/>
      <c r="PWM12" s="313"/>
      <c r="PWN12" s="313"/>
      <c r="PWO12" s="313"/>
      <c r="PWP12" s="313"/>
      <c r="PWQ12" s="95"/>
      <c r="PWR12" s="313"/>
      <c r="PWS12" s="313"/>
      <c r="PWT12" s="313"/>
      <c r="PWU12" s="313"/>
      <c r="PWV12" s="313"/>
      <c r="PWW12" s="313"/>
      <c r="PWX12" s="313"/>
      <c r="PWY12" s="95"/>
      <c r="PWZ12" s="313"/>
      <c r="PXA12" s="313"/>
      <c r="PXB12" s="313"/>
      <c r="PXC12" s="313"/>
      <c r="PXD12" s="313"/>
      <c r="PXE12" s="313"/>
      <c r="PXF12" s="313"/>
      <c r="PXG12" s="95"/>
      <c r="PXH12" s="313"/>
      <c r="PXI12" s="313"/>
      <c r="PXJ12" s="313"/>
      <c r="PXK12" s="313"/>
      <c r="PXL12" s="313"/>
      <c r="PXM12" s="313"/>
      <c r="PXN12" s="313"/>
      <c r="PXO12" s="95"/>
      <c r="PXP12" s="313"/>
      <c r="PXQ12" s="313"/>
      <c r="PXR12" s="313"/>
      <c r="PXS12" s="313"/>
      <c r="PXT12" s="313"/>
      <c r="PXU12" s="313"/>
      <c r="PXV12" s="313"/>
      <c r="PXW12" s="95"/>
      <c r="PXX12" s="313"/>
      <c r="PXY12" s="313"/>
      <c r="PXZ12" s="313"/>
      <c r="PYA12" s="313"/>
      <c r="PYB12" s="313"/>
      <c r="PYC12" s="313"/>
      <c r="PYD12" s="313"/>
      <c r="PYE12" s="95"/>
      <c r="PYF12" s="313"/>
      <c r="PYG12" s="313"/>
      <c r="PYH12" s="313"/>
      <c r="PYI12" s="313"/>
      <c r="PYJ12" s="313"/>
      <c r="PYK12" s="313"/>
      <c r="PYL12" s="313"/>
      <c r="PYM12" s="95"/>
      <c r="PYN12" s="313"/>
      <c r="PYO12" s="313"/>
      <c r="PYP12" s="313"/>
      <c r="PYQ12" s="313"/>
      <c r="PYR12" s="313"/>
      <c r="PYS12" s="313"/>
      <c r="PYT12" s="313"/>
      <c r="PYU12" s="95"/>
      <c r="PYV12" s="313"/>
      <c r="PYW12" s="313"/>
      <c r="PYX12" s="313"/>
      <c r="PYY12" s="313"/>
      <c r="PYZ12" s="313"/>
      <c r="PZA12" s="313"/>
      <c r="PZB12" s="313"/>
      <c r="PZC12" s="95"/>
      <c r="PZD12" s="313"/>
      <c r="PZE12" s="313"/>
      <c r="PZF12" s="313"/>
      <c r="PZG12" s="313"/>
      <c r="PZH12" s="313"/>
      <c r="PZI12" s="313"/>
      <c r="PZJ12" s="313"/>
      <c r="PZK12" s="95"/>
      <c r="PZL12" s="313"/>
      <c r="PZM12" s="313"/>
      <c r="PZN12" s="313"/>
      <c r="PZO12" s="313"/>
      <c r="PZP12" s="313"/>
      <c r="PZQ12" s="313"/>
      <c r="PZR12" s="313"/>
      <c r="PZS12" s="95"/>
      <c r="PZT12" s="313"/>
      <c r="PZU12" s="313"/>
      <c r="PZV12" s="313"/>
      <c r="PZW12" s="313"/>
      <c r="PZX12" s="313"/>
      <c r="PZY12" s="313"/>
      <c r="PZZ12" s="313"/>
      <c r="QAA12" s="95"/>
      <c r="QAB12" s="313"/>
      <c r="QAC12" s="313"/>
      <c r="QAD12" s="313"/>
      <c r="QAE12" s="313"/>
      <c r="QAF12" s="313"/>
      <c r="QAG12" s="313"/>
      <c r="QAH12" s="313"/>
      <c r="QAI12" s="95"/>
      <c r="QAJ12" s="313"/>
      <c r="QAK12" s="313"/>
      <c r="QAL12" s="313"/>
      <c r="QAM12" s="313"/>
      <c r="QAN12" s="313"/>
      <c r="QAO12" s="313"/>
      <c r="QAP12" s="313"/>
      <c r="QAQ12" s="95"/>
      <c r="QAR12" s="313"/>
      <c r="QAS12" s="313"/>
      <c r="QAT12" s="313"/>
      <c r="QAU12" s="313"/>
      <c r="QAV12" s="313"/>
      <c r="QAW12" s="313"/>
      <c r="QAX12" s="313"/>
      <c r="QAY12" s="95"/>
      <c r="QAZ12" s="313"/>
      <c r="QBA12" s="313"/>
      <c r="QBB12" s="313"/>
      <c r="QBC12" s="313"/>
      <c r="QBD12" s="313"/>
      <c r="QBE12" s="313"/>
      <c r="QBF12" s="313"/>
      <c r="QBG12" s="95"/>
      <c r="QBH12" s="313"/>
      <c r="QBI12" s="313"/>
      <c r="QBJ12" s="313"/>
      <c r="QBK12" s="313"/>
      <c r="QBL12" s="313"/>
      <c r="QBM12" s="313"/>
      <c r="QBN12" s="313"/>
      <c r="QBO12" s="95"/>
      <c r="QBP12" s="313"/>
      <c r="QBQ12" s="313"/>
      <c r="QBR12" s="313"/>
      <c r="QBS12" s="313"/>
      <c r="QBT12" s="313"/>
      <c r="QBU12" s="313"/>
      <c r="QBV12" s="313"/>
      <c r="QBW12" s="95"/>
      <c r="QBX12" s="313"/>
      <c r="QBY12" s="313"/>
      <c r="QBZ12" s="313"/>
      <c r="QCA12" s="313"/>
      <c r="QCB12" s="313"/>
      <c r="QCC12" s="313"/>
      <c r="QCD12" s="313"/>
      <c r="QCE12" s="95"/>
      <c r="QCF12" s="313"/>
      <c r="QCG12" s="313"/>
      <c r="QCH12" s="313"/>
      <c r="QCI12" s="313"/>
      <c r="QCJ12" s="313"/>
      <c r="QCK12" s="313"/>
      <c r="QCL12" s="313"/>
      <c r="QCM12" s="95"/>
      <c r="QCN12" s="313"/>
      <c r="QCO12" s="313"/>
      <c r="QCP12" s="313"/>
      <c r="QCQ12" s="313"/>
      <c r="QCR12" s="313"/>
      <c r="QCS12" s="313"/>
      <c r="QCT12" s="313"/>
      <c r="QCU12" s="95"/>
      <c r="QCV12" s="313"/>
      <c r="QCW12" s="313"/>
      <c r="QCX12" s="313"/>
      <c r="QCY12" s="313"/>
      <c r="QCZ12" s="313"/>
      <c r="QDA12" s="313"/>
      <c r="QDB12" s="313"/>
      <c r="QDC12" s="95"/>
      <c r="QDD12" s="313"/>
      <c r="QDE12" s="313"/>
      <c r="QDF12" s="313"/>
      <c r="QDG12" s="313"/>
      <c r="QDH12" s="313"/>
      <c r="QDI12" s="313"/>
      <c r="QDJ12" s="313"/>
      <c r="QDK12" s="95"/>
      <c r="QDL12" s="313"/>
      <c r="QDM12" s="313"/>
      <c r="QDN12" s="313"/>
      <c r="QDO12" s="313"/>
      <c r="QDP12" s="313"/>
      <c r="QDQ12" s="313"/>
      <c r="QDR12" s="313"/>
      <c r="QDS12" s="95"/>
      <c r="QDT12" s="313"/>
      <c r="QDU12" s="313"/>
      <c r="QDV12" s="313"/>
      <c r="QDW12" s="313"/>
      <c r="QDX12" s="313"/>
      <c r="QDY12" s="313"/>
      <c r="QDZ12" s="313"/>
      <c r="QEA12" s="95"/>
      <c r="QEB12" s="313"/>
      <c r="QEC12" s="313"/>
      <c r="QED12" s="313"/>
      <c r="QEE12" s="313"/>
      <c r="QEF12" s="313"/>
      <c r="QEG12" s="313"/>
      <c r="QEH12" s="313"/>
      <c r="QEI12" s="95"/>
      <c r="QEJ12" s="313"/>
      <c r="QEK12" s="313"/>
      <c r="QEL12" s="313"/>
      <c r="QEM12" s="313"/>
      <c r="QEN12" s="313"/>
      <c r="QEO12" s="313"/>
      <c r="QEP12" s="313"/>
      <c r="QEQ12" s="95"/>
      <c r="QER12" s="313"/>
      <c r="QES12" s="313"/>
      <c r="QET12" s="313"/>
      <c r="QEU12" s="313"/>
      <c r="QEV12" s="313"/>
      <c r="QEW12" s="313"/>
      <c r="QEX12" s="313"/>
      <c r="QEY12" s="95"/>
      <c r="QEZ12" s="313"/>
      <c r="QFA12" s="313"/>
      <c r="QFB12" s="313"/>
      <c r="QFC12" s="313"/>
      <c r="QFD12" s="313"/>
      <c r="QFE12" s="313"/>
      <c r="QFF12" s="313"/>
      <c r="QFG12" s="95"/>
      <c r="QFH12" s="313"/>
      <c r="QFI12" s="313"/>
      <c r="QFJ12" s="313"/>
      <c r="QFK12" s="313"/>
      <c r="QFL12" s="313"/>
      <c r="QFM12" s="313"/>
      <c r="QFN12" s="313"/>
      <c r="QFO12" s="95"/>
      <c r="QFP12" s="313"/>
      <c r="QFQ12" s="313"/>
      <c r="QFR12" s="313"/>
      <c r="QFS12" s="313"/>
      <c r="QFT12" s="313"/>
      <c r="QFU12" s="313"/>
      <c r="QFV12" s="313"/>
      <c r="QFW12" s="95"/>
      <c r="QFX12" s="313"/>
      <c r="QFY12" s="313"/>
      <c r="QFZ12" s="313"/>
      <c r="QGA12" s="313"/>
      <c r="QGB12" s="313"/>
      <c r="QGC12" s="313"/>
      <c r="QGD12" s="313"/>
      <c r="QGE12" s="95"/>
      <c r="QGF12" s="313"/>
      <c r="QGG12" s="313"/>
      <c r="QGH12" s="313"/>
      <c r="QGI12" s="313"/>
      <c r="QGJ12" s="313"/>
      <c r="QGK12" s="313"/>
      <c r="QGL12" s="313"/>
      <c r="QGM12" s="95"/>
      <c r="QGN12" s="313"/>
      <c r="QGO12" s="313"/>
      <c r="QGP12" s="313"/>
      <c r="QGQ12" s="313"/>
      <c r="QGR12" s="313"/>
      <c r="QGS12" s="313"/>
      <c r="QGT12" s="313"/>
      <c r="QGU12" s="95"/>
      <c r="QGV12" s="313"/>
      <c r="QGW12" s="313"/>
      <c r="QGX12" s="313"/>
      <c r="QGY12" s="313"/>
      <c r="QGZ12" s="313"/>
      <c r="QHA12" s="313"/>
      <c r="QHB12" s="313"/>
      <c r="QHC12" s="95"/>
      <c r="QHD12" s="313"/>
      <c r="QHE12" s="313"/>
      <c r="QHF12" s="313"/>
      <c r="QHG12" s="313"/>
      <c r="QHH12" s="313"/>
      <c r="QHI12" s="313"/>
      <c r="QHJ12" s="313"/>
      <c r="QHK12" s="95"/>
      <c r="QHL12" s="313"/>
      <c r="QHM12" s="313"/>
      <c r="QHN12" s="313"/>
      <c r="QHO12" s="313"/>
      <c r="QHP12" s="313"/>
      <c r="QHQ12" s="313"/>
      <c r="QHR12" s="313"/>
      <c r="QHS12" s="95"/>
      <c r="QHT12" s="313"/>
      <c r="QHU12" s="313"/>
      <c r="QHV12" s="313"/>
      <c r="QHW12" s="313"/>
      <c r="QHX12" s="313"/>
      <c r="QHY12" s="313"/>
      <c r="QHZ12" s="313"/>
      <c r="QIA12" s="95"/>
      <c r="QIB12" s="313"/>
      <c r="QIC12" s="313"/>
      <c r="QID12" s="313"/>
      <c r="QIE12" s="313"/>
      <c r="QIF12" s="313"/>
      <c r="QIG12" s="313"/>
      <c r="QIH12" s="313"/>
      <c r="QII12" s="95"/>
      <c r="QIJ12" s="313"/>
      <c r="QIK12" s="313"/>
      <c r="QIL12" s="313"/>
      <c r="QIM12" s="313"/>
      <c r="QIN12" s="313"/>
      <c r="QIO12" s="313"/>
      <c r="QIP12" s="313"/>
      <c r="QIQ12" s="95"/>
      <c r="QIR12" s="313"/>
      <c r="QIS12" s="313"/>
      <c r="QIT12" s="313"/>
      <c r="QIU12" s="313"/>
      <c r="QIV12" s="313"/>
      <c r="QIW12" s="313"/>
      <c r="QIX12" s="313"/>
      <c r="QIY12" s="95"/>
      <c r="QIZ12" s="313"/>
      <c r="QJA12" s="313"/>
      <c r="QJB12" s="313"/>
      <c r="QJC12" s="313"/>
      <c r="QJD12" s="313"/>
      <c r="QJE12" s="313"/>
      <c r="QJF12" s="313"/>
      <c r="QJG12" s="95"/>
      <c r="QJH12" s="313"/>
      <c r="QJI12" s="313"/>
      <c r="QJJ12" s="313"/>
      <c r="QJK12" s="313"/>
      <c r="QJL12" s="313"/>
      <c r="QJM12" s="313"/>
      <c r="QJN12" s="313"/>
      <c r="QJO12" s="95"/>
      <c r="QJP12" s="313"/>
      <c r="QJQ12" s="313"/>
      <c r="QJR12" s="313"/>
      <c r="QJS12" s="313"/>
      <c r="QJT12" s="313"/>
      <c r="QJU12" s="313"/>
      <c r="QJV12" s="313"/>
      <c r="QJW12" s="95"/>
      <c r="QJX12" s="313"/>
      <c r="QJY12" s="313"/>
      <c r="QJZ12" s="313"/>
      <c r="QKA12" s="313"/>
      <c r="QKB12" s="313"/>
      <c r="QKC12" s="313"/>
      <c r="QKD12" s="313"/>
      <c r="QKE12" s="95"/>
      <c r="QKF12" s="313"/>
      <c r="QKG12" s="313"/>
      <c r="QKH12" s="313"/>
      <c r="QKI12" s="313"/>
      <c r="QKJ12" s="313"/>
      <c r="QKK12" s="313"/>
      <c r="QKL12" s="313"/>
      <c r="QKM12" s="95"/>
      <c r="QKN12" s="313"/>
      <c r="QKO12" s="313"/>
      <c r="QKP12" s="313"/>
      <c r="QKQ12" s="313"/>
      <c r="QKR12" s="313"/>
      <c r="QKS12" s="313"/>
      <c r="QKT12" s="313"/>
      <c r="QKU12" s="95"/>
      <c r="QKV12" s="313"/>
      <c r="QKW12" s="313"/>
      <c r="QKX12" s="313"/>
      <c r="QKY12" s="313"/>
      <c r="QKZ12" s="313"/>
      <c r="QLA12" s="313"/>
      <c r="QLB12" s="313"/>
      <c r="QLC12" s="95"/>
      <c r="QLD12" s="313"/>
      <c r="QLE12" s="313"/>
      <c r="QLF12" s="313"/>
      <c r="QLG12" s="313"/>
      <c r="QLH12" s="313"/>
      <c r="QLI12" s="313"/>
      <c r="QLJ12" s="313"/>
      <c r="QLK12" s="95"/>
      <c r="QLL12" s="313"/>
      <c r="QLM12" s="313"/>
      <c r="QLN12" s="313"/>
      <c r="QLO12" s="313"/>
      <c r="QLP12" s="313"/>
      <c r="QLQ12" s="313"/>
      <c r="QLR12" s="313"/>
      <c r="QLS12" s="95"/>
      <c r="QLT12" s="313"/>
      <c r="QLU12" s="313"/>
      <c r="QLV12" s="313"/>
      <c r="QLW12" s="313"/>
      <c r="QLX12" s="313"/>
      <c r="QLY12" s="313"/>
      <c r="QLZ12" s="313"/>
      <c r="QMA12" s="95"/>
      <c r="QMB12" s="313"/>
      <c r="QMC12" s="313"/>
      <c r="QMD12" s="313"/>
      <c r="QME12" s="313"/>
      <c r="QMF12" s="313"/>
      <c r="QMG12" s="313"/>
      <c r="QMH12" s="313"/>
      <c r="QMI12" s="95"/>
      <c r="QMJ12" s="313"/>
      <c r="QMK12" s="313"/>
      <c r="QML12" s="313"/>
      <c r="QMM12" s="313"/>
      <c r="QMN12" s="313"/>
      <c r="QMO12" s="313"/>
      <c r="QMP12" s="313"/>
      <c r="QMQ12" s="95"/>
      <c r="QMR12" s="313"/>
      <c r="QMS12" s="313"/>
      <c r="QMT12" s="313"/>
      <c r="QMU12" s="313"/>
      <c r="QMV12" s="313"/>
      <c r="QMW12" s="313"/>
      <c r="QMX12" s="313"/>
      <c r="QMY12" s="95"/>
      <c r="QMZ12" s="313"/>
      <c r="QNA12" s="313"/>
      <c r="QNB12" s="313"/>
      <c r="QNC12" s="313"/>
      <c r="QND12" s="313"/>
      <c r="QNE12" s="313"/>
      <c r="QNF12" s="313"/>
      <c r="QNG12" s="95"/>
      <c r="QNH12" s="313"/>
      <c r="QNI12" s="313"/>
      <c r="QNJ12" s="313"/>
      <c r="QNK12" s="313"/>
      <c r="QNL12" s="313"/>
      <c r="QNM12" s="313"/>
      <c r="QNN12" s="313"/>
      <c r="QNO12" s="95"/>
      <c r="QNP12" s="313"/>
      <c r="QNQ12" s="313"/>
      <c r="QNR12" s="313"/>
      <c r="QNS12" s="313"/>
      <c r="QNT12" s="313"/>
      <c r="QNU12" s="313"/>
      <c r="QNV12" s="313"/>
      <c r="QNW12" s="95"/>
      <c r="QNX12" s="313"/>
      <c r="QNY12" s="313"/>
      <c r="QNZ12" s="313"/>
      <c r="QOA12" s="313"/>
      <c r="QOB12" s="313"/>
      <c r="QOC12" s="313"/>
      <c r="QOD12" s="313"/>
      <c r="QOE12" s="95"/>
      <c r="QOF12" s="313"/>
      <c r="QOG12" s="313"/>
      <c r="QOH12" s="313"/>
      <c r="QOI12" s="313"/>
      <c r="QOJ12" s="313"/>
      <c r="QOK12" s="313"/>
      <c r="QOL12" s="313"/>
      <c r="QOM12" s="95"/>
      <c r="QON12" s="313"/>
      <c r="QOO12" s="313"/>
      <c r="QOP12" s="313"/>
      <c r="QOQ12" s="313"/>
      <c r="QOR12" s="313"/>
      <c r="QOS12" s="313"/>
      <c r="QOT12" s="313"/>
      <c r="QOU12" s="95"/>
      <c r="QOV12" s="313"/>
      <c r="QOW12" s="313"/>
      <c r="QOX12" s="313"/>
      <c r="QOY12" s="313"/>
      <c r="QOZ12" s="313"/>
      <c r="QPA12" s="313"/>
      <c r="QPB12" s="313"/>
      <c r="QPC12" s="95"/>
      <c r="QPD12" s="313"/>
      <c r="QPE12" s="313"/>
      <c r="QPF12" s="313"/>
      <c r="QPG12" s="313"/>
      <c r="QPH12" s="313"/>
      <c r="QPI12" s="313"/>
      <c r="QPJ12" s="313"/>
      <c r="QPK12" s="95"/>
      <c r="QPL12" s="313"/>
      <c r="QPM12" s="313"/>
      <c r="QPN12" s="313"/>
      <c r="QPO12" s="313"/>
      <c r="QPP12" s="313"/>
      <c r="QPQ12" s="313"/>
      <c r="QPR12" s="313"/>
      <c r="QPS12" s="95"/>
      <c r="QPT12" s="313"/>
      <c r="QPU12" s="313"/>
      <c r="QPV12" s="313"/>
      <c r="QPW12" s="313"/>
      <c r="QPX12" s="313"/>
      <c r="QPY12" s="313"/>
      <c r="QPZ12" s="313"/>
      <c r="QQA12" s="95"/>
      <c r="QQB12" s="313"/>
      <c r="QQC12" s="313"/>
      <c r="QQD12" s="313"/>
      <c r="QQE12" s="313"/>
      <c r="QQF12" s="313"/>
      <c r="QQG12" s="313"/>
      <c r="QQH12" s="313"/>
      <c r="QQI12" s="95"/>
      <c r="QQJ12" s="313"/>
      <c r="QQK12" s="313"/>
      <c r="QQL12" s="313"/>
      <c r="QQM12" s="313"/>
      <c r="QQN12" s="313"/>
      <c r="QQO12" s="313"/>
      <c r="QQP12" s="313"/>
      <c r="QQQ12" s="95"/>
      <c r="QQR12" s="313"/>
      <c r="QQS12" s="313"/>
      <c r="QQT12" s="313"/>
      <c r="QQU12" s="313"/>
      <c r="QQV12" s="313"/>
      <c r="QQW12" s="313"/>
      <c r="QQX12" s="313"/>
      <c r="QQY12" s="95"/>
      <c r="QQZ12" s="313"/>
      <c r="QRA12" s="313"/>
      <c r="QRB12" s="313"/>
      <c r="QRC12" s="313"/>
      <c r="QRD12" s="313"/>
      <c r="QRE12" s="313"/>
      <c r="QRF12" s="313"/>
      <c r="QRG12" s="95"/>
      <c r="QRH12" s="313"/>
      <c r="QRI12" s="313"/>
      <c r="QRJ12" s="313"/>
      <c r="QRK12" s="313"/>
      <c r="QRL12" s="313"/>
      <c r="QRM12" s="313"/>
      <c r="QRN12" s="313"/>
      <c r="QRO12" s="95"/>
      <c r="QRP12" s="313"/>
      <c r="QRQ12" s="313"/>
      <c r="QRR12" s="313"/>
      <c r="QRS12" s="313"/>
      <c r="QRT12" s="313"/>
      <c r="QRU12" s="313"/>
      <c r="QRV12" s="313"/>
      <c r="QRW12" s="95"/>
      <c r="QRX12" s="313"/>
      <c r="QRY12" s="313"/>
      <c r="QRZ12" s="313"/>
      <c r="QSA12" s="313"/>
      <c r="QSB12" s="313"/>
      <c r="QSC12" s="313"/>
      <c r="QSD12" s="313"/>
      <c r="QSE12" s="95"/>
      <c r="QSF12" s="313"/>
      <c r="QSG12" s="313"/>
      <c r="QSH12" s="313"/>
      <c r="QSI12" s="313"/>
      <c r="QSJ12" s="313"/>
      <c r="QSK12" s="313"/>
      <c r="QSL12" s="313"/>
      <c r="QSM12" s="95"/>
      <c r="QSN12" s="313"/>
      <c r="QSO12" s="313"/>
      <c r="QSP12" s="313"/>
      <c r="QSQ12" s="313"/>
      <c r="QSR12" s="313"/>
      <c r="QSS12" s="313"/>
      <c r="QST12" s="313"/>
      <c r="QSU12" s="95"/>
      <c r="QSV12" s="313"/>
      <c r="QSW12" s="313"/>
      <c r="QSX12" s="313"/>
      <c r="QSY12" s="313"/>
      <c r="QSZ12" s="313"/>
      <c r="QTA12" s="313"/>
      <c r="QTB12" s="313"/>
      <c r="QTC12" s="95"/>
      <c r="QTD12" s="313"/>
      <c r="QTE12" s="313"/>
      <c r="QTF12" s="313"/>
      <c r="QTG12" s="313"/>
      <c r="QTH12" s="313"/>
      <c r="QTI12" s="313"/>
      <c r="QTJ12" s="313"/>
      <c r="QTK12" s="95"/>
      <c r="QTL12" s="313"/>
      <c r="QTM12" s="313"/>
      <c r="QTN12" s="313"/>
      <c r="QTO12" s="313"/>
      <c r="QTP12" s="313"/>
      <c r="QTQ12" s="313"/>
      <c r="QTR12" s="313"/>
      <c r="QTS12" s="95"/>
      <c r="QTT12" s="313"/>
      <c r="QTU12" s="313"/>
      <c r="QTV12" s="313"/>
      <c r="QTW12" s="313"/>
      <c r="QTX12" s="313"/>
      <c r="QTY12" s="313"/>
      <c r="QTZ12" s="313"/>
      <c r="QUA12" s="95"/>
      <c r="QUB12" s="313"/>
      <c r="QUC12" s="313"/>
      <c r="QUD12" s="313"/>
      <c r="QUE12" s="313"/>
      <c r="QUF12" s="313"/>
      <c r="QUG12" s="313"/>
      <c r="QUH12" s="313"/>
      <c r="QUI12" s="95"/>
      <c r="QUJ12" s="313"/>
      <c r="QUK12" s="313"/>
      <c r="QUL12" s="313"/>
      <c r="QUM12" s="313"/>
      <c r="QUN12" s="313"/>
      <c r="QUO12" s="313"/>
      <c r="QUP12" s="313"/>
      <c r="QUQ12" s="95"/>
      <c r="QUR12" s="313"/>
      <c r="QUS12" s="313"/>
      <c r="QUT12" s="313"/>
      <c r="QUU12" s="313"/>
      <c r="QUV12" s="313"/>
      <c r="QUW12" s="313"/>
      <c r="QUX12" s="313"/>
      <c r="QUY12" s="95"/>
      <c r="QUZ12" s="313"/>
      <c r="QVA12" s="313"/>
      <c r="QVB12" s="313"/>
      <c r="QVC12" s="313"/>
      <c r="QVD12" s="313"/>
      <c r="QVE12" s="313"/>
      <c r="QVF12" s="313"/>
      <c r="QVG12" s="95"/>
      <c r="QVH12" s="313"/>
      <c r="QVI12" s="313"/>
      <c r="QVJ12" s="313"/>
      <c r="QVK12" s="313"/>
      <c r="QVL12" s="313"/>
      <c r="QVM12" s="313"/>
      <c r="QVN12" s="313"/>
      <c r="QVO12" s="95"/>
      <c r="QVP12" s="313"/>
      <c r="QVQ12" s="313"/>
      <c r="QVR12" s="313"/>
      <c r="QVS12" s="313"/>
      <c r="QVT12" s="313"/>
      <c r="QVU12" s="313"/>
      <c r="QVV12" s="313"/>
      <c r="QVW12" s="95"/>
      <c r="QVX12" s="313"/>
      <c r="QVY12" s="313"/>
      <c r="QVZ12" s="313"/>
      <c r="QWA12" s="313"/>
      <c r="QWB12" s="313"/>
      <c r="QWC12" s="313"/>
      <c r="QWD12" s="313"/>
      <c r="QWE12" s="95"/>
      <c r="QWF12" s="313"/>
      <c r="QWG12" s="313"/>
      <c r="QWH12" s="313"/>
      <c r="QWI12" s="313"/>
      <c r="QWJ12" s="313"/>
      <c r="QWK12" s="313"/>
      <c r="QWL12" s="313"/>
      <c r="QWM12" s="95"/>
      <c r="QWN12" s="313"/>
      <c r="QWO12" s="313"/>
      <c r="QWP12" s="313"/>
      <c r="QWQ12" s="313"/>
      <c r="QWR12" s="313"/>
      <c r="QWS12" s="313"/>
      <c r="QWT12" s="313"/>
      <c r="QWU12" s="95"/>
      <c r="QWV12" s="313"/>
      <c r="QWW12" s="313"/>
      <c r="QWX12" s="313"/>
      <c r="QWY12" s="313"/>
      <c r="QWZ12" s="313"/>
      <c r="QXA12" s="313"/>
      <c r="QXB12" s="313"/>
      <c r="QXC12" s="95"/>
      <c r="QXD12" s="313"/>
      <c r="QXE12" s="313"/>
      <c r="QXF12" s="313"/>
      <c r="QXG12" s="313"/>
      <c r="QXH12" s="313"/>
      <c r="QXI12" s="313"/>
      <c r="QXJ12" s="313"/>
      <c r="QXK12" s="95"/>
      <c r="QXL12" s="313"/>
      <c r="QXM12" s="313"/>
      <c r="QXN12" s="313"/>
      <c r="QXO12" s="313"/>
      <c r="QXP12" s="313"/>
      <c r="QXQ12" s="313"/>
      <c r="QXR12" s="313"/>
      <c r="QXS12" s="95"/>
      <c r="QXT12" s="313"/>
      <c r="QXU12" s="313"/>
      <c r="QXV12" s="313"/>
      <c r="QXW12" s="313"/>
      <c r="QXX12" s="313"/>
      <c r="QXY12" s="313"/>
      <c r="QXZ12" s="313"/>
      <c r="QYA12" s="95"/>
      <c r="QYB12" s="313"/>
      <c r="QYC12" s="313"/>
      <c r="QYD12" s="313"/>
      <c r="QYE12" s="313"/>
      <c r="QYF12" s="313"/>
      <c r="QYG12" s="313"/>
      <c r="QYH12" s="313"/>
      <c r="QYI12" s="95"/>
      <c r="QYJ12" s="313"/>
      <c r="QYK12" s="313"/>
      <c r="QYL12" s="313"/>
      <c r="QYM12" s="313"/>
      <c r="QYN12" s="313"/>
      <c r="QYO12" s="313"/>
      <c r="QYP12" s="313"/>
      <c r="QYQ12" s="95"/>
      <c r="QYR12" s="313"/>
      <c r="QYS12" s="313"/>
      <c r="QYT12" s="313"/>
      <c r="QYU12" s="313"/>
      <c r="QYV12" s="313"/>
      <c r="QYW12" s="313"/>
      <c r="QYX12" s="313"/>
      <c r="QYY12" s="95"/>
      <c r="QYZ12" s="313"/>
      <c r="QZA12" s="313"/>
      <c r="QZB12" s="313"/>
      <c r="QZC12" s="313"/>
      <c r="QZD12" s="313"/>
      <c r="QZE12" s="313"/>
      <c r="QZF12" s="313"/>
      <c r="QZG12" s="95"/>
      <c r="QZH12" s="313"/>
      <c r="QZI12" s="313"/>
      <c r="QZJ12" s="313"/>
      <c r="QZK12" s="313"/>
      <c r="QZL12" s="313"/>
      <c r="QZM12" s="313"/>
      <c r="QZN12" s="313"/>
      <c r="QZO12" s="95"/>
      <c r="QZP12" s="313"/>
      <c r="QZQ12" s="313"/>
      <c r="QZR12" s="313"/>
      <c r="QZS12" s="313"/>
      <c r="QZT12" s="313"/>
      <c r="QZU12" s="313"/>
      <c r="QZV12" s="313"/>
      <c r="QZW12" s="95"/>
      <c r="QZX12" s="313"/>
      <c r="QZY12" s="313"/>
      <c r="QZZ12" s="313"/>
      <c r="RAA12" s="313"/>
      <c r="RAB12" s="313"/>
      <c r="RAC12" s="313"/>
      <c r="RAD12" s="313"/>
      <c r="RAE12" s="95"/>
      <c r="RAF12" s="313"/>
      <c r="RAG12" s="313"/>
      <c r="RAH12" s="313"/>
      <c r="RAI12" s="313"/>
      <c r="RAJ12" s="313"/>
      <c r="RAK12" s="313"/>
      <c r="RAL12" s="313"/>
      <c r="RAM12" s="95"/>
      <c r="RAN12" s="313"/>
      <c r="RAO12" s="313"/>
      <c r="RAP12" s="313"/>
      <c r="RAQ12" s="313"/>
      <c r="RAR12" s="313"/>
      <c r="RAS12" s="313"/>
      <c r="RAT12" s="313"/>
      <c r="RAU12" s="95"/>
      <c r="RAV12" s="313"/>
      <c r="RAW12" s="313"/>
      <c r="RAX12" s="313"/>
      <c r="RAY12" s="313"/>
      <c r="RAZ12" s="313"/>
      <c r="RBA12" s="313"/>
      <c r="RBB12" s="313"/>
      <c r="RBC12" s="95"/>
      <c r="RBD12" s="313"/>
      <c r="RBE12" s="313"/>
      <c r="RBF12" s="313"/>
      <c r="RBG12" s="313"/>
      <c r="RBH12" s="313"/>
      <c r="RBI12" s="313"/>
      <c r="RBJ12" s="313"/>
      <c r="RBK12" s="95"/>
      <c r="RBL12" s="313"/>
      <c r="RBM12" s="313"/>
      <c r="RBN12" s="313"/>
      <c r="RBO12" s="313"/>
      <c r="RBP12" s="313"/>
      <c r="RBQ12" s="313"/>
      <c r="RBR12" s="313"/>
      <c r="RBS12" s="95"/>
      <c r="RBT12" s="313"/>
      <c r="RBU12" s="313"/>
      <c r="RBV12" s="313"/>
      <c r="RBW12" s="313"/>
      <c r="RBX12" s="313"/>
      <c r="RBY12" s="313"/>
      <c r="RBZ12" s="313"/>
      <c r="RCA12" s="95"/>
      <c r="RCB12" s="313"/>
      <c r="RCC12" s="313"/>
      <c r="RCD12" s="313"/>
      <c r="RCE12" s="313"/>
      <c r="RCF12" s="313"/>
      <c r="RCG12" s="313"/>
      <c r="RCH12" s="313"/>
      <c r="RCI12" s="95"/>
      <c r="RCJ12" s="313"/>
      <c r="RCK12" s="313"/>
      <c r="RCL12" s="313"/>
      <c r="RCM12" s="313"/>
      <c r="RCN12" s="313"/>
      <c r="RCO12" s="313"/>
      <c r="RCP12" s="313"/>
      <c r="RCQ12" s="95"/>
      <c r="RCR12" s="313"/>
      <c r="RCS12" s="313"/>
      <c r="RCT12" s="313"/>
      <c r="RCU12" s="313"/>
      <c r="RCV12" s="313"/>
      <c r="RCW12" s="313"/>
      <c r="RCX12" s="313"/>
      <c r="RCY12" s="95"/>
      <c r="RCZ12" s="313"/>
      <c r="RDA12" s="313"/>
      <c r="RDB12" s="313"/>
      <c r="RDC12" s="313"/>
      <c r="RDD12" s="313"/>
      <c r="RDE12" s="313"/>
      <c r="RDF12" s="313"/>
      <c r="RDG12" s="95"/>
      <c r="RDH12" s="313"/>
      <c r="RDI12" s="313"/>
      <c r="RDJ12" s="313"/>
      <c r="RDK12" s="313"/>
      <c r="RDL12" s="313"/>
      <c r="RDM12" s="313"/>
      <c r="RDN12" s="313"/>
      <c r="RDO12" s="95"/>
      <c r="RDP12" s="313"/>
      <c r="RDQ12" s="313"/>
      <c r="RDR12" s="313"/>
      <c r="RDS12" s="313"/>
      <c r="RDT12" s="313"/>
      <c r="RDU12" s="313"/>
      <c r="RDV12" s="313"/>
      <c r="RDW12" s="95"/>
      <c r="RDX12" s="313"/>
      <c r="RDY12" s="313"/>
      <c r="RDZ12" s="313"/>
      <c r="REA12" s="313"/>
      <c r="REB12" s="313"/>
      <c r="REC12" s="313"/>
      <c r="RED12" s="313"/>
      <c r="REE12" s="95"/>
      <c r="REF12" s="313"/>
      <c r="REG12" s="313"/>
      <c r="REH12" s="313"/>
      <c r="REI12" s="313"/>
      <c r="REJ12" s="313"/>
      <c r="REK12" s="313"/>
      <c r="REL12" s="313"/>
      <c r="REM12" s="95"/>
      <c r="REN12" s="313"/>
      <c r="REO12" s="313"/>
      <c r="REP12" s="313"/>
      <c r="REQ12" s="313"/>
      <c r="RER12" s="313"/>
      <c r="RES12" s="313"/>
      <c r="RET12" s="313"/>
      <c r="REU12" s="95"/>
      <c r="REV12" s="313"/>
      <c r="REW12" s="313"/>
      <c r="REX12" s="313"/>
      <c r="REY12" s="313"/>
      <c r="REZ12" s="313"/>
      <c r="RFA12" s="313"/>
      <c r="RFB12" s="313"/>
      <c r="RFC12" s="95"/>
      <c r="RFD12" s="313"/>
      <c r="RFE12" s="313"/>
      <c r="RFF12" s="313"/>
      <c r="RFG12" s="313"/>
      <c r="RFH12" s="313"/>
      <c r="RFI12" s="313"/>
      <c r="RFJ12" s="313"/>
      <c r="RFK12" s="95"/>
      <c r="RFL12" s="313"/>
      <c r="RFM12" s="313"/>
      <c r="RFN12" s="313"/>
      <c r="RFO12" s="313"/>
      <c r="RFP12" s="313"/>
      <c r="RFQ12" s="313"/>
      <c r="RFR12" s="313"/>
      <c r="RFS12" s="95"/>
      <c r="RFT12" s="313"/>
      <c r="RFU12" s="313"/>
      <c r="RFV12" s="313"/>
      <c r="RFW12" s="313"/>
      <c r="RFX12" s="313"/>
      <c r="RFY12" s="313"/>
      <c r="RFZ12" s="313"/>
      <c r="RGA12" s="95"/>
      <c r="RGB12" s="313"/>
      <c r="RGC12" s="313"/>
      <c r="RGD12" s="313"/>
      <c r="RGE12" s="313"/>
      <c r="RGF12" s="313"/>
      <c r="RGG12" s="313"/>
      <c r="RGH12" s="313"/>
      <c r="RGI12" s="95"/>
      <c r="RGJ12" s="313"/>
      <c r="RGK12" s="313"/>
      <c r="RGL12" s="313"/>
      <c r="RGM12" s="313"/>
      <c r="RGN12" s="313"/>
      <c r="RGO12" s="313"/>
      <c r="RGP12" s="313"/>
      <c r="RGQ12" s="95"/>
      <c r="RGR12" s="313"/>
      <c r="RGS12" s="313"/>
      <c r="RGT12" s="313"/>
      <c r="RGU12" s="313"/>
      <c r="RGV12" s="313"/>
      <c r="RGW12" s="313"/>
      <c r="RGX12" s="313"/>
      <c r="RGY12" s="95"/>
      <c r="RGZ12" s="313"/>
      <c r="RHA12" s="313"/>
      <c r="RHB12" s="313"/>
      <c r="RHC12" s="313"/>
      <c r="RHD12" s="313"/>
      <c r="RHE12" s="313"/>
      <c r="RHF12" s="313"/>
      <c r="RHG12" s="95"/>
      <c r="RHH12" s="313"/>
      <c r="RHI12" s="313"/>
      <c r="RHJ12" s="313"/>
      <c r="RHK12" s="313"/>
      <c r="RHL12" s="313"/>
      <c r="RHM12" s="313"/>
      <c r="RHN12" s="313"/>
      <c r="RHO12" s="95"/>
      <c r="RHP12" s="313"/>
      <c r="RHQ12" s="313"/>
      <c r="RHR12" s="313"/>
      <c r="RHS12" s="313"/>
      <c r="RHT12" s="313"/>
      <c r="RHU12" s="313"/>
      <c r="RHV12" s="313"/>
      <c r="RHW12" s="95"/>
      <c r="RHX12" s="313"/>
      <c r="RHY12" s="313"/>
      <c r="RHZ12" s="313"/>
      <c r="RIA12" s="313"/>
      <c r="RIB12" s="313"/>
      <c r="RIC12" s="313"/>
      <c r="RID12" s="313"/>
      <c r="RIE12" s="95"/>
      <c r="RIF12" s="313"/>
      <c r="RIG12" s="313"/>
      <c r="RIH12" s="313"/>
      <c r="RII12" s="313"/>
      <c r="RIJ12" s="313"/>
      <c r="RIK12" s="313"/>
      <c r="RIL12" s="313"/>
      <c r="RIM12" s="95"/>
      <c r="RIN12" s="313"/>
      <c r="RIO12" s="313"/>
      <c r="RIP12" s="313"/>
      <c r="RIQ12" s="313"/>
      <c r="RIR12" s="313"/>
      <c r="RIS12" s="313"/>
      <c r="RIT12" s="313"/>
      <c r="RIU12" s="95"/>
      <c r="RIV12" s="313"/>
      <c r="RIW12" s="313"/>
      <c r="RIX12" s="313"/>
      <c r="RIY12" s="313"/>
      <c r="RIZ12" s="313"/>
      <c r="RJA12" s="313"/>
      <c r="RJB12" s="313"/>
      <c r="RJC12" s="95"/>
      <c r="RJD12" s="313"/>
      <c r="RJE12" s="313"/>
      <c r="RJF12" s="313"/>
      <c r="RJG12" s="313"/>
      <c r="RJH12" s="313"/>
      <c r="RJI12" s="313"/>
      <c r="RJJ12" s="313"/>
      <c r="RJK12" s="95"/>
      <c r="RJL12" s="313"/>
      <c r="RJM12" s="313"/>
      <c r="RJN12" s="313"/>
      <c r="RJO12" s="313"/>
      <c r="RJP12" s="313"/>
      <c r="RJQ12" s="313"/>
      <c r="RJR12" s="313"/>
      <c r="RJS12" s="95"/>
      <c r="RJT12" s="313"/>
      <c r="RJU12" s="313"/>
      <c r="RJV12" s="313"/>
      <c r="RJW12" s="313"/>
      <c r="RJX12" s="313"/>
      <c r="RJY12" s="313"/>
      <c r="RJZ12" s="313"/>
      <c r="RKA12" s="95"/>
      <c r="RKB12" s="313"/>
      <c r="RKC12" s="313"/>
      <c r="RKD12" s="313"/>
      <c r="RKE12" s="313"/>
      <c r="RKF12" s="313"/>
      <c r="RKG12" s="313"/>
      <c r="RKH12" s="313"/>
      <c r="RKI12" s="95"/>
      <c r="RKJ12" s="313"/>
      <c r="RKK12" s="313"/>
      <c r="RKL12" s="313"/>
      <c r="RKM12" s="313"/>
      <c r="RKN12" s="313"/>
      <c r="RKO12" s="313"/>
      <c r="RKP12" s="313"/>
      <c r="RKQ12" s="95"/>
      <c r="RKR12" s="313"/>
      <c r="RKS12" s="313"/>
      <c r="RKT12" s="313"/>
      <c r="RKU12" s="313"/>
      <c r="RKV12" s="313"/>
      <c r="RKW12" s="313"/>
      <c r="RKX12" s="313"/>
      <c r="RKY12" s="95"/>
      <c r="RKZ12" s="313"/>
      <c r="RLA12" s="313"/>
      <c r="RLB12" s="313"/>
      <c r="RLC12" s="313"/>
      <c r="RLD12" s="313"/>
      <c r="RLE12" s="313"/>
      <c r="RLF12" s="313"/>
      <c r="RLG12" s="95"/>
      <c r="RLH12" s="313"/>
      <c r="RLI12" s="313"/>
      <c r="RLJ12" s="313"/>
      <c r="RLK12" s="313"/>
      <c r="RLL12" s="313"/>
      <c r="RLM12" s="313"/>
      <c r="RLN12" s="313"/>
      <c r="RLO12" s="95"/>
      <c r="RLP12" s="313"/>
      <c r="RLQ12" s="313"/>
      <c r="RLR12" s="313"/>
      <c r="RLS12" s="313"/>
      <c r="RLT12" s="313"/>
      <c r="RLU12" s="313"/>
      <c r="RLV12" s="313"/>
      <c r="RLW12" s="95"/>
      <c r="RLX12" s="313"/>
      <c r="RLY12" s="313"/>
      <c r="RLZ12" s="313"/>
      <c r="RMA12" s="313"/>
      <c r="RMB12" s="313"/>
      <c r="RMC12" s="313"/>
      <c r="RMD12" s="313"/>
      <c r="RME12" s="95"/>
      <c r="RMF12" s="313"/>
      <c r="RMG12" s="313"/>
      <c r="RMH12" s="313"/>
      <c r="RMI12" s="313"/>
      <c r="RMJ12" s="313"/>
      <c r="RMK12" s="313"/>
      <c r="RML12" s="313"/>
      <c r="RMM12" s="95"/>
      <c r="RMN12" s="313"/>
      <c r="RMO12" s="313"/>
      <c r="RMP12" s="313"/>
      <c r="RMQ12" s="313"/>
      <c r="RMR12" s="313"/>
      <c r="RMS12" s="313"/>
      <c r="RMT12" s="313"/>
      <c r="RMU12" s="95"/>
      <c r="RMV12" s="313"/>
      <c r="RMW12" s="313"/>
      <c r="RMX12" s="313"/>
      <c r="RMY12" s="313"/>
      <c r="RMZ12" s="313"/>
      <c r="RNA12" s="313"/>
      <c r="RNB12" s="313"/>
      <c r="RNC12" s="95"/>
      <c r="RND12" s="313"/>
      <c r="RNE12" s="313"/>
      <c r="RNF12" s="313"/>
      <c r="RNG12" s="313"/>
      <c r="RNH12" s="313"/>
      <c r="RNI12" s="313"/>
      <c r="RNJ12" s="313"/>
      <c r="RNK12" s="95"/>
      <c r="RNL12" s="313"/>
      <c r="RNM12" s="313"/>
      <c r="RNN12" s="313"/>
      <c r="RNO12" s="313"/>
      <c r="RNP12" s="313"/>
      <c r="RNQ12" s="313"/>
      <c r="RNR12" s="313"/>
      <c r="RNS12" s="95"/>
      <c r="RNT12" s="313"/>
      <c r="RNU12" s="313"/>
      <c r="RNV12" s="313"/>
      <c r="RNW12" s="313"/>
      <c r="RNX12" s="313"/>
      <c r="RNY12" s="313"/>
      <c r="RNZ12" s="313"/>
      <c r="ROA12" s="95"/>
      <c r="ROB12" s="313"/>
      <c r="ROC12" s="313"/>
      <c r="ROD12" s="313"/>
      <c r="ROE12" s="313"/>
      <c r="ROF12" s="313"/>
      <c r="ROG12" s="313"/>
      <c r="ROH12" s="313"/>
      <c r="ROI12" s="95"/>
      <c r="ROJ12" s="313"/>
      <c r="ROK12" s="313"/>
      <c r="ROL12" s="313"/>
      <c r="ROM12" s="313"/>
      <c r="RON12" s="313"/>
      <c r="ROO12" s="313"/>
      <c r="ROP12" s="313"/>
      <c r="ROQ12" s="95"/>
      <c r="ROR12" s="313"/>
      <c r="ROS12" s="313"/>
      <c r="ROT12" s="313"/>
      <c r="ROU12" s="313"/>
      <c r="ROV12" s="313"/>
      <c r="ROW12" s="313"/>
      <c r="ROX12" s="313"/>
      <c r="ROY12" s="95"/>
      <c r="ROZ12" s="313"/>
      <c r="RPA12" s="313"/>
      <c r="RPB12" s="313"/>
      <c r="RPC12" s="313"/>
      <c r="RPD12" s="313"/>
      <c r="RPE12" s="313"/>
      <c r="RPF12" s="313"/>
      <c r="RPG12" s="95"/>
      <c r="RPH12" s="313"/>
      <c r="RPI12" s="313"/>
      <c r="RPJ12" s="313"/>
      <c r="RPK12" s="313"/>
      <c r="RPL12" s="313"/>
      <c r="RPM12" s="313"/>
      <c r="RPN12" s="313"/>
      <c r="RPO12" s="95"/>
      <c r="RPP12" s="313"/>
      <c r="RPQ12" s="313"/>
      <c r="RPR12" s="313"/>
      <c r="RPS12" s="313"/>
      <c r="RPT12" s="313"/>
      <c r="RPU12" s="313"/>
      <c r="RPV12" s="313"/>
      <c r="RPW12" s="95"/>
      <c r="RPX12" s="313"/>
      <c r="RPY12" s="313"/>
      <c r="RPZ12" s="313"/>
      <c r="RQA12" s="313"/>
      <c r="RQB12" s="313"/>
      <c r="RQC12" s="313"/>
      <c r="RQD12" s="313"/>
      <c r="RQE12" s="95"/>
      <c r="RQF12" s="313"/>
      <c r="RQG12" s="313"/>
      <c r="RQH12" s="313"/>
      <c r="RQI12" s="313"/>
      <c r="RQJ12" s="313"/>
      <c r="RQK12" s="313"/>
      <c r="RQL12" s="313"/>
      <c r="RQM12" s="95"/>
      <c r="RQN12" s="313"/>
      <c r="RQO12" s="313"/>
      <c r="RQP12" s="313"/>
      <c r="RQQ12" s="313"/>
      <c r="RQR12" s="313"/>
      <c r="RQS12" s="313"/>
      <c r="RQT12" s="313"/>
      <c r="RQU12" s="95"/>
      <c r="RQV12" s="313"/>
      <c r="RQW12" s="313"/>
      <c r="RQX12" s="313"/>
      <c r="RQY12" s="313"/>
      <c r="RQZ12" s="313"/>
      <c r="RRA12" s="313"/>
      <c r="RRB12" s="313"/>
      <c r="RRC12" s="95"/>
      <c r="RRD12" s="313"/>
      <c r="RRE12" s="313"/>
      <c r="RRF12" s="313"/>
      <c r="RRG12" s="313"/>
      <c r="RRH12" s="313"/>
      <c r="RRI12" s="313"/>
      <c r="RRJ12" s="313"/>
      <c r="RRK12" s="95"/>
      <c r="RRL12" s="313"/>
      <c r="RRM12" s="313"/>
      <c r="RRN12" s="313"/>
      <c r="RRO12" s="313"/>
      <c r="RRP12" s="313"/>
      <c r="RRQ12" s="313"/>
      <c r="RRR12" s="313"/>
      <c r="RRS12" s="95"/>
      <c r="RRT12" s="313"/>
      <c r="RRU12" s="313"/>
      <c r="RRV12" s="313"/>
      <c r="RRW12" s="313"/>
      <c r="RRX12" s="313"/>
      <c r="RRY12" s="313"/>
      <c r="RRZ12" s="313"/>
      <c r="RSA12" s="95"/>
      <c r="RSB12" s="313"/>
      <c r="RSC12" s="313"/>
      <c r="RSD12" s="313"/>
      <c r="RSE12" s="313"/>
      <c r="RSF12" s="313"/>
      <c r="RSG12" s="313"/>
      <c r="RSH12" s="313"/>
      <c r="RSI12" s="95"/>
      <c r="RSJ12" s="313"/>
      <c r="RSK12" s="313"/>
      <c r="RSL12" s="313"/>
      <c r="RSM12" s="313"/>
      <c r="RSN12" s="313"/>
      <c r="RSO12" s="313"/>
      <c r="RSP12" s="313"/>
      <c r="RSQ12" s="95"/>
      <c r="RSR12" s="313"/>
      <c r="RSS12" s="313"/>
      <c r="RST12" s="313"/>
      <c r="RSU12" s="313"/>
      <c r="RSV12" s="313"/>
      <c r="RSW12" s="313"/>
      <c r="RSX12" s="313"/>
      <c r="RSY12" s="95"/>
      <c r="RSZ12" s="313"/>
      <c r="RTA12" s="313"/>
      <c r="RTB12" s="313"/>
      <c r="RTC12" s="313"/>
      <c r="RTD12" s="313"/>
      <c r="RTE12" s="313"/>
      <c r="RTF12" s="313"/>
      <c r="RTG12" s="95"/>
      <c r="RTH12" s="313"/>
      <c r="RTI12" s="313"/>
      <c r="RTJ12" s="313"/>
      <c r="RTK12" s="313"/>
      <c r="RTL12" s="313"/>
      <c r="RTM12" s="313"/>
      <c r="RTN12" s="313"/>
      <c r="RTO12" s="95"/>
      <c r="RTP12" s="313"/>
      <c r="RTQ12" s="313"/>
      <c r="RTR12" s="313"/>
      <c r="RTS12" s="313"/>
      <c r="RTT12" s="313"/>
      <c r="RTU12" s="313"/>
      <c r="RTV12" s="313"/>
      <c r="RTW12" s="95"/>
      <c r="RTX12" s="313"/>
      <c r="RTY12" s="313"/>
      <c r="RTZ12" s="313"/>
      <c r="RUA12" s="313"/>
      <c r="RUB12" s="313"/>
      <c r="RUC12" s="313"/>
      <c r="RUD12" s="313"/>
      <c r="RUE12" s="95"/>
      <c r="RUF12" s="313"/>
      <c r="RUG12" s="313"/>
      <c r="RUH12" s="313"/>
      <c r="RUI12" s="313"/>
      <c r="RUJ12" s="313"/>
      <c r="RUK12" s="313"/>
      <c r="RUL12" s="313"/>
      <c r="RUM12" s="95"/>
      <c r="RUN12" s="313"/>
      <c r="RUO12" s="313"/>
      <c r="RUP12" s="313"/>
      <c r="RUQ12" s="313"/>
      <c r="RUR12" s="313"/>
      <c r="RUS12" s="313"/>
      <c r="RUT12" s="313"/>
      <c r="RUU12" s="95"/>
      <c r="RUV12" s="313"/>
      <c r="RUW12" s="313"/>
      <c r="RUX12" s="313"/>
      <c r="RUY12" s="313"/>
      <c r="RUZ12" s="313"/>
      <c r="RVA12" s="313"/>
      <c r="RVB12" s="313"/>
      <c r="RVC12" s="95"/>
      <c r="RVD12" s="313"/>
      <c r="RVE12" s="313"/>
      <c r="RVF12" s="313"/>
      <c r="RVG12" s="313"/>
      <c r="RVH12" s="313"/>
      <c r="RVI12" s="313"/>
      <c r="RVJ12" s="313"/>
      <c r="RVK12" s="95"/>
      <c r="RVL12" s="313"/>
      <c r="RVM12" s="313"/>
      <c r="RVN12" s="313"/>
      <c r="RVO12" s="313"/>
      <c r="RVP12" s="313"/>
      <c r="RVQ12" s="313"/>
      <c r="RVR12" s="313"/>
      <c r="RVS12" s="95"/>
      <c r="RVT12" s="313"/>
      <c r="RVU12" s="313"/>
      <c r="RVV12" s="313"/>
      <c r="RVW12" s="313"/>
      <c r="RVX12" s="313"/>
      <c r="RVY12" s="313"/>
      <c r="RVZ12" s="313"/>
      <c r="RWA12" s="95"/>
      <c r="RWB12" s="313"/>
      <c r="RWC12" s="313"/>
      <c r="RWD12" s="313"/>
      <c r="RWE12" s="313"/>
      <c r="RWF12" s="313"/>
      <c r="RWG12" s="313"/>
      <c r="RWH12" s="313"/>
      <c r="RWI12" s="95"/>
      <c r="RWJ12" s="313"/>
      <c r="RWK12" s="313"/>
      <c r="RWL12" s="313"/>
      <c r="RWM12" s="313"/>
      <c r="RWN12" s="313"/>
      <c r="RWO12" s="313"/>
      <c r="RWP12" s="313"/>
      <c r="RWQ12" s="95"/>
      <c r="RWR12" s="313"/>
      <c r="RWS12" s="313"/>
      <c r="RWT12" s="313"/>
      <c r="RWU12" s="313"/>
      <c r="RWV12" s="313"/>
      <c r="RWW12" s="313"/>
      <c r="RWX12" s="313"/>
      <c r="RWY12" s="95"/>
      <c r="RWZ12" s="313"/>
      <c r="RXA12" s="313"/>
      <c r="RXB12" s="313"/>
      <c r="RXC12" s="313"/>
      <c r="RXD12" s="313"/>
      <c r="RXE12" s="313"/>
      <c r="RXF12" s="313"/>
      <c r="RXG12" s="95"/>
      <c r="RXH12" s="313"/>
      <c r="RXI12" s="313"/>
      <c r="RXJ12" s="313"/>
      <c r="RXK12" s="313"/>
      <c r="RXL12" s="313"/>
      <c r="RXM12" s="313"/>
      <c r="RXN12" s="313"/>
      <c r="RXO12" s="95"/>
      <c r="RXP12" s="313"/>
      <c r="RXQ12" s="313"/>
      <c r="RXR12" s="313"/>
      <c r="RXS12" s="313"/>
      <c r="RXT12" s="313"/>
      <c r="RXU12" s="313"/>
      <c r="RXV12" s="313"/>
      <c r="RXW12" s="95"/>
      <c r="RXX12" s="313"/>
      <c r="RXY12" s="313"/>
      <c r="RXZ12" s="313"/>
      <c r="RYA12" s="313"/>
      <c r="RYB12" s="313"/>
      <c r="RYC12" s="313"/>
      <c r="RYD12" s="313"/>
      <c r="RYE12" s="95"/>
      <c r="RYF12" s="313"/>
      <c r="RYG12" s="313"/>
      <c r="RYH12" s="313"/>
      <c r="RYI12" s="313"/>
      <c r="RYJ12" s="313"/>
      <c r="RYK12" s="313"/>
      <c r="RYL12" s="313"/>
      <c r="RYM12" s="95"/>
      <c r="RYN12" s="313"/>
      <c r="RYO12" s="313"/>
      <c r="RYP12" s="313"/>
      <c r="RYQ12" s="313"/>
      <c r="RYR12" s="313"/>
      <c r="RYS12" s="313"/>
      <c r="RYT12" s="313"/>
      <c r="RYU12" s="95"/>
      <c r="RYV12" s="313"/>
      <c r="RYW12" s="313"/>
      <c r="RYX12" s="313"/>
      <c r="RYY12" s="313"/>
      <c r="RYZ12" s="313"/>
      <c r="RZA12" s="313"/>
      <c r="RZB12" s="313"/>
      <c r="RZC12" s="95"/>
      <c r="RZD12" s="313"/>
      <c r="RZE12" s="313"/>
      <c r="RZF12" s="313"/>
      <c r="RZG12" s="313"/>
      <c r="RZH12" s="313"/>
      <c r="RZI12" s="313"/>
      <c r="RZJ12" s="313"/>
      <c r="RZK12" s="95"/>
      <c r="RZL12" s="313"/>
      <c r="RZM12" s="313"/>
      <c r="RZN12" s="313"/>
      <c r="RZO12" s="313"/>
      <c r="RZP12" s="313"/>
      <c r="RZQ12" s="313"/>
      <c r="RZR12" s="313"/>
      <c r="RZS12" s="95"/>
      <c r="RZT12" s="313"/>
      <c r="RZU12" s="313"/>
      <c r="RZV12" s="313"/>
      <c r="RZW12" s="313"/>
      <c r="RZX12" s="313"/>
      <c r="RZY12" s="313"/>
      <c r="RZZ12" s="313"/>
      <c r="SAA12" s="95"/>
      <c r="SAB12" s="313"/>
      <c r="SAC12" s="313"/>
      <c r="SAD12" s="313"/>
      <c r="SAE12" s="313"/>
      <c r="SAF12" s="313"/>
      <c r="SAG12" s="313"/>
      <c r="SAH12" s="313"/>
      <c r="SAI12" s="95"/>
      <c r="SAJ12" s="313"/>
      <c r="SAK12" s="313"/>
      <c r="SAL12" s="313"/>
      <c r="SAM12" s="313"/>
      <c r="SAN12" s="313"/>
      <c r="SAO12" s="313"/>
      <c r="SAP12" s="313"/>
      <c r="SAQ12" s="95"/>
      <c r="SAR12" s="313"/>
      <c r="SAS12" s="313"/>
      <c r="SAT12" s="313"/>
      <c r="SAU12" s="313"/>
      <c r="SAV12" s="313"/>
      <c r="SAW12" s="313"/>
      <c r="SAX12" s="313"/>
      <c r="SAY12" s="95"/>
      <c r="SAZ12" s="313"/>
      <c r="SBA12" s="313"/>
      <c r="SBB12" s="313"/>
      <c r="SBC12" s="313"/>
      <c r="SBD12" s="313"/>
      <c r="SBE12" s="313"/>
      <c r="SBF12" s="313"/>
      <c r="SBG12" s="95"/>
      <c r="SBH12" s="313"/>
      <c r="SBI12" s="313"/>
      <c r="SBJ12" s="313"/>
      <c r="SBK12" s="313"/>
      <c r="SBL12" s="313"/>
      <c r="SBM12" s="313"/>
      <c r="SBN12" s="313"/>
      <c r="SBO12" s="95"/>
      <c r="SBP12" s="313"/>
      <c r="SBQ12" s="313"/>
      <c r="SBR12" s="313"/>
      <c r="SBS12" s="313"/>
      <c r="SBT12" s="313"/>
      <c r="SBU12" s="313"/>
      <c r="SBV12" s="313"/>
      <c r="SBW12" s="95"/>
      <c r="SBX12" s="313"/>
      <c r="SBY12" s="313"/>
      <c r="SBZ12" s="313"/>
      <c r="SCA12" s="313"/>
      <c r="SCB12" s="313"/>
      <c r="SCC12" s="313"/>
      <c r="SCD12" s="313"/>
      <c r="SCE12" s="95"/>
      <c r="SCF12" s="313"/>
      <c r="SCG12" s="313"/>
      <c r="SCH12" s="313"/>
      <c r="SCI12" s="313"/>
      <c r="SCJ12" s="313"/>
      <c r="SCK12" s="313"/>
      <c r="SCL12" s="313"/>
      <c r="SCM12" s="95"/>
      <c r="SCN12" s="313"/>
      <c r="SCO12" s="313"/>
      <c r="SCP12" s="313"/>
      <c r="SCQ12" s="313"/>
      <c r="SCR12" s="313"/>
      <c r="SCS12" s="313"/>
      <c r="SCT12" s="313"/>
      <c r="SCU12" s="95"/>
      <c r="SCV12" s="313"/>
      <c r="SCW12" s="313"/>
      <c r="SCX12" s="313"/>
      <c r="SCY12" s="313"/>
      <c r="SCZ12" s="313"/>
      <c r="SDA12" s="313"/>
      <c r="SDB12" s="313"/>
      <c r="SDC12" s="95"/>
      <c r="SDD12" s="313"/>
      <c r="SDE12" s="313"/>
      <c r="SDF12" s="313"/>
      <c r="SDG12" s="313"/>
      <c r="SDH12" s="313"/>
      <c r="SDI12" s="313"/>
      <c r="SDJ12" s="313"/>
      <c r="SDK12" s="95"/>
      <c r="SDL12" s="313"/>
      <c r="SDM12" s="313"/>
      <c r="SDN12" s="313"/>
      <c r="SDO12" s="313"/>
      <c r="SDP12" s="313"/>
      <c r="SDQ12" s="313"/>
      <c r="SDR12" s="313"/>
      <c r="SDS12" s="95"/>
      <c r="SDT12" s="313"/>
      <c r="SDU12" s="313"/>
      <c r="SDV12" s="313"/>
      <c r="SDW12" s="313"/>
      <c r="SDX12" s="313"/>
      <c r="SDY12" s="313"/>
      <c r="SDZ12" s="313"/>
      <c r="SEA12" s="95"/>
      <c r="SEB12" s="313"/>
      <c r="SEC12" s="313"/>
      <c r="SED12" s="313"/>
      <c r="SEE12" s="313"/>
      <c r="SEF12" s="313"/>
      <c r="SEG12" s="313"/>
      <c r="SEH12" s="313"/>
      <c r="SEI12" s="95"/>
      <c r="SEJ12" s="313"/>
      <c r="SEK12" s="313"/>
      <c r="SEL12" s="313"/>
      <c r="SEM12" s="313"/>
      <c r="SEN12" s="313"/>
      <c r="SEO12" s="313"/>
      <c r="SEP12" s="313"/>
      <c r="SEQ12" s="95"/>
      <c r="SER12" s="313"/>
      <c r="SES12" s="313"/>
      <c r="SET12" s="313"/>
      <c r="SEU12" s="313"/>
      <c r="SEV12" s="313"/>
      <c r="SEW12" s="313"/>
      <c r="SEX12" s="313"/>
      <c r="SEY12" s="95"/>
      <c r="SEZ12" s="313"/>
      <c r="SFA12" s="313"/>
      <c r="SFB12" s="313"/>
      <c r="SFC12" s="313"/>
      <c r="SFD12" s="313"/>
      <c r="SFE12" s="313"/>
      <c r="SFF12" s="313"/>
      <c r="SFG12" s="95"/>
      <c r="SFH12" s="313"/>
      <c r="SFI12" s="313"/>
      <c r="SFJ12" s="313"/>
      <c r="SFK12" s="313"/>
      <c r="SFL12" s="313"/>
      <c r="SFM12" s="313"/>
      <c r="SFN12" s="313"/>
      <c r="SFO12" s="95"/>
      <c r="SFP12" s="313"/>
      <c r="SFQ12" s="313"/>
      <c r="SFR12" s="313"/>
      <c r="SFS12" s="313"/>
      <c r="SFT12" s="313"/>
      <c r="SFU12" s="313"/>
      <c r="SFV12" s="313"/>
      <c r="SFW12" s="95"/>
      <c r="SFX12" s="313"/>
      <c r="SFY12" s="313"/>
      <c r="SFZ12" s="313"/>
      <c r="SGA12" s="313"/>
      <c r="SGB12" s="313"/>
      <c r="SGC12" s="313"/>
      <c r="SGD12" s="313"/>
      <c r="SGE12" s="95"/>
      <c r="SGF12" s="313"/>
      <c r="SGG12" s="313"/>
      <c r="SGH12" s="313"/>
      <c r="SGI12" s="313"/>
      <c r="SGJ12" s="313"/>
      <c r="SGK12" s="313"/>
      <c r="SGL12" s="313"/>
      <c r="SGM12" s="95"/>
      <c r="SGN12" s="313"/>
      <c r="SGO12" s="313"/>
      <c r="SGP12" s="313"/>
      <c r="SGQ12" s="313"/>
      <c r="SGR12" s="313"/>
      <c r="SGS12" s="313"/>
      <c r="SGT12" s="313"/>
      <c r="SGU12" s="95"/>
      <c r="SGV12" s="313"/>
      <c r="SGW12" s="313"/>
      <c r="SGX12" s="313"/>
      <c r="SGY12" s="313"/>
      <c r="SGZ12" s="313"/>
      <c r="SHA12" s="313"/>
      <c r="SHB12" s="313"/>
      <c r="SHC12" s="95"/>
      <c r="SHD12" s="313"/>
      <c r="SHE12" s="313"/>
      <c r="SHF12" s="313"/>
      <c r="SHG12" s="313"/>
      <c r="SHH12" s="313"/>
      <c r="SHI12" s="313"/>
      <c r="SHJ12" s="313"/>
      <c r="SHK12" s="95"/>
      <c r="SHL12" s="313"/>
      <c r="SHM12" s="313"/>
      <c r="SHN12" s="313"/>
      <c r="SHO12" s="313"/>
      <c r="SHP12" s="313"/>
      <c r="SHQ12" s="313"/>
      <c r="SHR12" s="313"/>
      <c r="SHS12" s="95"/>
      <c r="SHT12" s="313"/>
      <c r="SHU12" s="313"/>
      <c r="SHV12" s="313"/>
      <c r="SHW12" s="313"/>
      <c r="SHX12" s="313"/>
      <c r="SHY12" s="313"/>
      <c r="SHZ12" s="313"/>
      <c r="SIA12" s="95"/>
      <c r="SIB12" s="313"/>
      <c r="SIC12" s="313"/>
      <c r="SID12" s="313"/>
      <c r="SIE12" s="313"/>
      <c r="SIF12" s="313"/>
      <c r="SIG12" s="313"/>
      <c r="SIH12" s="313"/>
      <c r="SII12" s="95"/>
      <c r="SIJ12" s="313"/>
      <c r="SIK12" s="313"/>
      <c r="SIL12" s="313"/>
      <c r="SIM12" s="313"/>
      <c r="SIN12" s="313"/>
      <c r="SIO12" s="313"/>
      <c r="SIP12" s="313"/>
      <c r="SIQ12" s="95"/>
      <c r="SIR12" s="313"/>
      <c r="SIS12" s="313"/>
      <c r="SIT12" s="313"/>
      <c r="SIU12" s="313"/>
      <c r="SIV12" s="313"/>
      <c r="SIW12" s="313"/>
      <c r="SIX12" s="313"/>
      <c r="SIY12" s="95"/>
      <c r="SIZ12" s="313"/>
      <c r="SJA12" s="313"/>
      <c r="SJB12" s="313"/>
      <c r="SJC12" s="313"/>
      <c r="SJD12" s="313"/>
      <c r="SJE12" s="313"/>
      <c r="SJF12" s="313"/>
      <c r="SJG12" s="95"/>
      <c r="SJH12" s="313"/>
      <c r="SJI12" s="313"/>
      <c r="SJJ12" s="313"/>
      <c r="SJK12" s="313"/>
      <c r="SJL12" s="313"/>
      <c r="SJM12" s="313"/>
      <c r="SJN12" s="313"/>
      <c r="SJO12" s="95"/>
      <c r="SJP12" s="313"/>
      <c r="SJQ12" s="313"/>
      <c r="SJR12" s="313"/>
      <c r="SJS12" s="313"/>
      <c r="SJT12" s="313"/>
      <c r="SJU12" s="313"/>
      <c r="SJV12" s="313"/>
      <c r="SJW12" s="95"/>
      <c r="SJX12" s="313"/>
      <c r="SJY12" s="313"/>
      <c r="SJZ12" s="313"/>
      <c r="SKA12" s="313"/>
      <c r="SKB12" s="313"/>
      <c r="SKC12" s="313"/>
      <c r="SKD12" s="313"/>
      <c r="SKE12" s="95"/>
      <c r="SKF12" s="313"/>
      <c r="SKG12" s="313"/>
      <c r="SKH12" s="313"/>
      <c r="SKI12" s="313"/>
      <c r="SKJ12" s="313"/>
      <c r="SKK12" s="313"/>
      <c r="SKL12" s="313"/>
      <c r="SKM12" s="95"/>
      <c r="SKN12" s="313"/>
      <c r="SKO12" s="313"/>
      <c r="SKP12" s="313"/>
      <c r="SKQ12" s="313"/>
      <c r="SKR12" s="313"/>
      <c r="SKS12" s="313"/>
      <c r="SKT12" s="313"/>
      <c r="SKU12" s="95"/>
      <c r="SKV12" s="313"/>
      <c r="SKW12" s="313"/>
      <c r="SKX12" s="313"/>
      <c r="SKY12" s="313"/>
      <c r="SKZ12" s="313"/>
      <c r="SLA12" s="313"/>
      <c r="SLB12" s="313"/>
      <c r="SLC12" s="95"/>
      <c r="SLD12" s="313"/>
      <c r="SLE12" s="313"/>
      <c r="SLF12" s="313"/>
      <c r="SLG12" s="313"/>
      <c r="SLH12" s="313"/>
      <c r="SLI12" s="313"/>
      <c r="SLJ12" s="313"/>
      <c r="SLK12" s="95"/>
      <c r="SLL12" s="313"/>
      <c r="SLM12" s="313"/>
      <c r="SLN12" s="313"/>
      <c r="SLO12" s="313"/>
      <c r="SLP12" s="313"/>
      <c r="SLQ12" s="313"/>
      <c r="SLR12" s="313"/>
      <c r="SLS12" s="95"/>
      <c r="SLT12" s="313"/>
      <c r="SLU12" s="313"/>
      <c r="SLV12" s="313"/>
      <c r="SLW12" s="313"/>
      <c r="SLX12" s="313"/>
      <c r="SLY12" s="313"/>
      <c r="SLZ12" s="313"/>
      <c r="SMA12" s="95"/>
      <c r="SMB12" s="313"/>
      <c r="SMC12" s="313"/>
      <c r="SMD12" s="313"/>
      <c r="SME12" s="313"/>
      <c r="SMF12" s="313"/>
      <c r="SMG12" s="313"/>
      <c r="SMH12" s="313"/>
      <c r="SMI12" s="95"/>
      <c r="SMJ12" s="313"/>
      <c r="SMK12" s="313"/>
      <c r="SML12" s="313"/>
      <c r="SMM12" s="313"/>
      <c r="SMN12" s="313"/>
      <c r="SMO12" s="313"/>
      <c r="SMP12" s="313"/>
      <c r="SMQ12" s="95"/>
      <c r="SMR12" s="313"/>
      <c r="SMS12" s="313"/>
      <c r="SMT12" s="313"/>
      <c r="SMU12" s="313"/>
      <c r="SMV12" s="313"/>
      <c r="SMW12" s="313"/>
      <c r="SMX12" s="313"/>
      <c r="SMY12" s="95"/>
      <c r="SMZ12" s="313"/>
      <c r="SNA12" s="313"/>
      <c r="SNB12" s="313"/>
      <c r="SNC12" s="313"/>
      <c r="SND12" s="313"/>
      <c r="SNE12" s="313"/>
      <c r="SNF12" s="313"/>
      <c r="SNG12" s="95"/>
      <c r="SNH12" s="313"/>
      <c r="SNI12" s="313"/>
      <c r="SNJ12" s="313"/>
      <c r="SNK12" s="313"/>
      <c r="SNL12" s="313"/>
      <c r="SNM12" s="313"/>
      <c r="SNN12" s="313"/>
      <c r="SNO12" s="95"/>
      <c r="SNP12" s="313"/>
      <c r="SNQ12" s="313"/>
      <c r="SNR12" s="313"/>
      <c r="SNS12" s="313"/>
      <c r="SNT12" s="313"/>
      <c r="SNU12" s="313"/>
      <c r="SNV12" s="313"/>
      <c r="SNW12" s="95"/>
      <c r="SNX12" s="313"/>
      <c r="SNY12" s="313"/>
      <c r="SNZ12" s="313"/>
      <c r="SOA12" s="313"/>
      <c r="SOB12" s="313"/>
      <c r="SOC12" s="313"/>
      <c r="SOD12" s="313"/>
      <c r="SOE12" s="95"/>
      <c r="SOF12" s="313"/>
      <c r="SOG12" s="313"/>
      <c r="SOH12" s="313"/>
      <c r="SOI12" s="313"/>
      <c r="SOJ12" s="313"/>
      <c r="SOK12" s="313"/>
      <c r="SOL12" s="313"/>
      <c r="SOM12" s="95"/>
      <c r="SON12" s="313"/>
      <c r="SOO12" s="313"/>
      <c r="SOP12" s="313"/>
      <c r="SOQ12" s="313"/>
      <c r="SOR12" s="313"/>
      <c r="SOS12" s="313"/>
      <c r="SOT12" s="313"/>
      <c r="SOU12" s="95"/>
      <c r="SOV12" s="313"/>
      <c r="SOW12" s="313"/>
      <c r="SOX12" s="313"/>
      <c r="SOY12" s="313"/>
      <c r="SOZ12" s="313"/>
      <c r="SPA12" s="313"/>
      <c r="SPB12" s="313"/>
      <c r="SPC12" s="95"/>
      <c r="SPD12" s="313"/>
      <c r="SPE12" s="313"/>
      <c r="SPF12" s="313"/>
      <c r="SPG12" s="313"/>
      <c r="SPH12" s="313"/>
      <c r="SPI12" s="313"/>
      <c r="SPJ12" s="313"/>
      <c r="SPK12" s="95"/>
      <c r="SPL12" s="313"/>
      <c r="SPM12" s="313"/>
      <c r="SPN12" s="313"/>
      <c r="SPO12" s="313"/>
      <c r="SPP12" s="313"/>
      <c r="SPQ12" s="313"/>
      <c r="SPR12" s="313"/>
      <c r="SPS12" s="95"/>
      <c r="SPT12" s="313"/>
      <c r="SPU12" s="313"/>
      <c r="SPV12" s="313"/>
      <c r="SPW12" s="313"/>
      <c r="SPX12" s="313"/>
      <c r="SPY12" s="313"/>
      <c r="SPZ12" s="313"/>
      <c r="SQA12" s="95"/>
      <c r="SQB12" s="313"/>
      <c r="SQC12" s="313"/>
      <c r="SQD12" s="313"/>
      <c r="SQE12" s="313"/>
      <c r="SQF12" s="313"/>
      <c r="SQG12" s="313"/>
      <c r="SQH12" s="313"/>
      <c r="SQI12" s="95"/>
      <c r="SQJ12" s="313"/>
      <c r="SQK12" s="313"/>
      <c r="SQL12" s="313"/>
      <c r="SQM12" s="313"/>
      <c r="SQN12" s="313"/>
      <c r="SQO12" s="313"/>
      <c r="SQP12" s="313"/>
      <c r="SQQ12" s="95"/>
      <c r="SQR12" s="313"/>
      <c r="SQS12" s="313"/>
      <c r="SQT12" s="313"/>
      <c r="SQU12" s="313"/>
      <c r="SQV12" s="313"/>
      <c r="SQW12" s="313"/>
      <c r="SQX12" s="313"/>
      <c r="SQY12" s="95"/>
      <c r="SQZ12" s="313"/>
      <c r="SRA12" s="313"/>
      <c r="SRB12" s="313"/>
      <c r="SRC12" s="313"/>
      <c r="SRD12" s="313"/>
      <c r="SRE12" s="313"/>
      <c r="SRF12" s="313"/>
      <c r="SRG12" s="95"/>
      <c r="SRH12" s="313"/>
      <c r="SRI12" s="313"/>
      <c r="SRJ12" s="313"/>
      <c r="SRK12" s="313"/>
      <c r="SRL12" s="313"/>
      <c r="SRM12" s="313"/>
      <c r="SRN12" s="313"/>
      <c r="SRO12" s="95"/>
      <c r="SRP12" s="313"/>
      <c r="SRQ12" s="313"/>
      <c r="SRR12" s="313"/>
      <c r="SRS12" s="313"/>
      <c r="SRT12" s="313"/>
      <c r="SRU12" s="313"/>
      <c r="SRV12" s="313"/>
      <c r="SRW12" s="95"/>
      <c r="SRX12" s="313"/>
      <c r="SRY12" s="313"/>
      <c r="SRZ12" s="313"/>
      <c r="SSA12" s="313"/>
      <c r="SSB12" s="313"/>
      <c r="SSC12" s="313"/>
      <c r="SSD12" s="313"/>
      <c r="SSE12" s="95"/>
      <c r="SSF12" s="313"/>
      <c r="SSG12" s="313"/>
      <c r="SSH12" s="313"/>
      <c r="SSI12" s="313"/>
      <c r="SSJ12" s="313"/>
      <c r="SSK12" s="313"/>
      <c r="SSL12" s="313"/>
      <c r="SSM12" s="95"/>
      <c r="SSN12" s="313"/>
      <c r="SSO12" s="313"/>
      <c r="SSP12" s="313"/>
      <c r="SSQ12" s="313"/>
      <c r="SSR12" s="313"/>
      <c r="SSS12" s="313"/>
      <c r="SST12" s="313"/>
      <c r="SSU12" s="95"/>
      <c r="SSV12" s="313"/>
      <c r="SSW12" s="313"/>
      <c r="SSX12" s="313"/>
      <c r="SSY12" s="313"/>
      <c r="SSZ12" s="313"/>
      <c r="STA12" s="313"/>
      <c r="STB12" s="313"/>
      <c r="STC12" s="95"/>
      <c r="STD12" s="313"/>
      <c r="STE12" s="313"/>
      <c r="STF12" s="313"/>
      <c r="STG12" s="313"/>
      <c r="STH12" s="313"/>
      <c r="STI12" s="313"/>
      <c r="STJ12" s="313"/>
      <c r="STK12" s="95"/>
      <c r="STL12" s="313"/>
      <c r="STM12" s="313"/>
      <c r="STN12" s="313"/>
      <c r="STO12" s="313"/>
      <c r="STP12" s="313"/>
      <c r="STQ12" s="313"/>
      <c r="STR12" s="313"/>
      <c r="STS12" s="95"/>
      <c r="STT12" s="313"/>
      <c r="STU12" s="313"/>
      <c r="STV12" s="313"/>
      <c r="STW12" s="313"/>
      <c r="STX12" s="313"/>
      <c r="STY12" s="313"/>
      <c r="STZ12" s="313"/>
      <c r="SUA12" s="95"/>
      <c r="SUB12" s="313"/>
      <c r="SUC12" s="313"/>
      <c r="SUD12" s="313"/>
      <c r="SUE12" s="313"/>
      <c r="SUF12" s="313"/>
      <c r="SUG12" s="313"/>
      <c r="SUH12" s="313"/>
      <c r="SUI12" s="95"/>
      <c r="SUJ12" s="313"/>
      <c r="SUK12" s="313"/>
      <c r="SUL12" s="313"/>
      <c r="SUM12" s="313"/>
      <c r="SUN12" s="313"/>
      <c r="SUO12" s="313"/>
      <c r="SUP12" s="313"/>
      <c r="SUQ12" s="95"/>
      <c r="SUR12" s="313"/>
      <c r="SUS12" s="313"/>
      <c r="SUT12" s="313"/>
      <c r="SUU12" s="313"/>
      <c r="SUV12" s="313"/>
      <c r="SUW12" s="313"/>
      <c r="SUX12" s="313"/>
      <c r="SUY12" s="95"/>
      <c r="SUZ12" s="313"/>
      <c r="SVA12" s="313"/>
      <c r="SVB12" s="313"/>
      <c r="SVC12" s="313"/>
      <c r="SVD12" s="313"/>
      <c r="SVE12" s="313"/>
      <c r="SVF12" s="313"/>
      <c r="SVG12" s="95"/>
      <c r="SVH12" s="313"/>
      <c r="SVI12" s="313"/>
      <c r="SVJ12" s="313"/>
      <c r="SVK12" s="313"/>
      <c r="SVL12" s="313"/>
      <c r="SVM12" s="313"/>
      <c r="SVN12" s="313"/>
      <c r="SVO12" s="95"/>
      <c r="SVP12" s="313"/>
      <c r="SVQ12" s="313"/>
      <c r="SVR12" s="313"/>
      <c r="SVS12" s="313"/>
      <c r="SVT12" s="313"/>
      <c r="SVU12" s="313"/>
      <c r="SVV12" s="313"/>
      <c r="SVW12" s="95"/>
      <c r="SVX12" s="313"/>
      <c r="SVY12" s="313"/>
      <c r="SVZ12" s="313"/>
      <c r="SWA12" s="313"/>
      <c r="SWB12" s="313"/>
      <c r="SWC12" s="313"/>
      <c r="SWD12" s="313"/>
      <c r="SWE12" s="95"/>
      <c r="SWF12" s="313"/>
      <c r="SWG12" s="313"/>
      <c r="SWH12" s="313"/>
      <c r="SWI12" s="313"/>
      <c r="SWJ12" s="313"/>
      <c r="SWK12" s="313"/>
      <c r="SWL12" s="313"/>
      <c r="SWM12" s="95"/>
      <c r="SWN12" s="313"/>
      <c r="SWO12" s="313"/>
      <c r="SWP12" s="313"/>
      <c r="SWQ12" s="313"/>
      <c r="SWR12" s="313"/>
      <c r="SWS12" s="313"/>
      <c r="SWT12" s="313"/>
      <c r="SWU12" s="95"/>
      <c r="SWV12" s="313"/>
      <c r="SWW12" s="313"/>
      <c r="SWX12" s="313"/>
      <c r="SWY12" s="313"/>
      <c r="SWZ12" s="313"/>
      <c r="SXA12" s="313"/>
      <c r="SXB12" s="313"/>
      <c r="SXC12" s="95"/>
      <c r="SXD12" s="313"/>
      <c r="SXE12" s="313"/>
      <c r="SXF12" s="313"/>
      <c r="SXG12" s="313"/>
      <c r="SXH12" s="313"/>
      <c r="SXI12" s="313"/>
      <c r="SXJ12" s="313"/>
      <c r="SXK12" s="95"/>
      <c r="SXL12" s="313"/>
      <c r="SXM12" s="313"/>
      <c r="SXN12" s="313"/>
      <c r="SXO12" s="313"/>
      <c r="SXP12" s="313"/>
      <c r="SXQ12" s="313"/>
      <c r="SXR12" s="313"/>
      <c r="SXS12" s="95"/>
      <c r="SXT12" s="313"/>
      <c r="SXU12" s="313"/>
      <c r="SXV12" s="313"/>
      <c r="SXW12" s="313"/>
      <c r="SXX12" s="313"/>
      <c r="SXY12" s="313"/>
      <c r="SXZ12" s="313"/>
      <c r="SYA12" s="95"/>
      <c r="SYB12" s="313"/>
      <c r="SYC12" s="313"/>
      <c r="SYD12" s="313"/>
      <c r="SYE12" s="313"/>
      <c r="SYF12" s="313"/>
      <c r="SYG12" s="313"/>
      <c r="SYH12" s="313"/>
      <c r="SYI12" s="95"/>
      <c r="SYJ12" s="313"/>
      <c r="SYK12" s="313"/>
      <c r="SYL12" s="313"/>
      <c r="SYM12" s="313"/>
      <c r="SYN12" s="313"/>
      <c r="SYO12" s="313"/>
      <c r="SYP12" s="313"/>
      <c r="SYQ12" s="95"/>
      <c r="SYR12" s="313"/>
      <c r="SYS12" s="313"/>
      <c r="SYT12" s="313"/>
      <c r="SYU12" s="313"/>
      <c r="SYV12" s="313"/>
      <c r="SYW12" s="313"/>
      <c r="SYX12" s="313"/>
      <c r="SYY12" s="95"/>
      <c r="SYZ12" s="313"/>
      <c r="SZA12" s="313"/>
      <c r="SZB12" s="313"/>
      <c r="SZC12" s="313"/>
      <c r="SZD12" s="313"/>
      <c r="SZE12" s="313"/>
      <c r="SZF12" s="313"/>
      <c r="SZG12" s="95"/>
      <c r="SZH12" s="313"/>
      <c r="SZI12" s="313"/>
      <c r="SZJ12" s="313"/>
      <c r="SZK12" s="313"/>
      <c r="SZL12" s="313"/>
      <c r="SZM12" s="313"/>
      <c r="SZN12" s="313"/>
      <c r="SZO12" s="95"/>
      <c r="SZP12" s="313"/>
      <c r="SZQ12" s="313"/>
      <c r="SZR12" s="313"/>
      <c r="SZS12" s="313"/>
      <c r="SZT12" s="313"/>
      <c r="SZU12" s="313"/>
      <c r="SZV12" s="313"/>
      <c r="SZW12" s="95"/>
      <c r="SZX12" s="313"/>
      <c r="SZY12" s="313"/>
      <c r="SZZ12" s="313"/>
      <c r="TAA12" s="313"/>
      <c r="TAB12" s="313"/>
      <c r="TAC12" s="313"/>
      <c r="TAD12" s="313"/>
      <c r="TAE12" s="95"/>
      <c r="TAF12" s="313"/>
      <c r="TAG12" s="313"/>
      <c r="TAH12" s="313"/>
      <c r="TAI12" s="313"/>
      <c r="TAJ12" s="313"/>
      <c r="TAK12" s="313"/>
      <c r="TAL12" s="313"/>
      <c r="TAM12" s="95"/>
      <c r="TAN12" s="313"/>
      <c r="TAO12" s="313"/>
      <c r="TAP12" s="313"/>
      <c r="TAQ12" s="313"/>
      <c r="TAR12" s="313"/>
      <c r="TAS12" s="313"/>
      <c r="TAT12" s="313"/>
      <c r="TAU12" s="95"/>
      <c r="TAV12" s="313"/>
      <c r="TAW12" s="313"/>
      <c r="TAX12" s="313"/>
      <c r="TAY12" s="313"/>
      <c r="TAZ12" s="313"/>
      <c r="TBA12" s="313"/>
      <c r="TBB12" s="313"/>
      <c r="TBC12" s="95"/>
      <c r="TBD12" s="313"/>
      <c r="TBE12" s="313"/>
      <c r="TBF12" s="313"/>
      <c r="TBG12" s="313"/>
      <c r="TBH12" s="313"/>
      <c r="TBI12" s="313"/>
      <c r="TBJ12" s="313"/>
      <c r="TBK12" s="95"/>
      <c r="TBL12" s="313"/>
      <c r="TBM12" s="313"/>
      <c r="TBN12" s="313"/>
      <c r="TBO12" s="313"/>
      <c r="TBP12" s="313"/>
      <c r="TBQ12" s="313"/>
      <c r="TBR12" s="313"/>
      <c r="TBS12" s="95"/>
      <c r="TBT12" s="313"/>
      <c r="TBU12" s="313"/>
      <c r="TBV12" s="313"/>
      <c r="TBW12" s="313"/>
      <c r="TBX12" s="313"/>
      <c r="TBY12" s="313"/>
      <c r="TBZ12" s="313"/>
      <c r="TCA12" s="95"/>
      <c r="TCB12" s="313"/>
      <c r="TCC12" s="313"/>
      <c r="TCD12" s="313"/>
      <c r="TCE12" s="313"/>
      <c r="TCF12" s="313"/>
      <c r="TCG12" s="313"/>
      <c r="TCH12" s="313"/>
      <c r="TCI12" s="95"/>
      <c r="TCJ12" s="313"/>
      <c r="TCK12" s="313"/>
      <c r="TCL12" s="313"/>
      <c r="TCM12" s="313"/>
      <c r="TCN12" s="313"/>
      <c r="TCO12" s="313"/>
      <c r="TCP12" s="313"/>
      <c r="TCQ12" s="95"/>
      <c r="TCR12" s="313"/>
      <c r="TCS12" s="313"/>
      <c r="TCT12" s="313"/>
      <c r="TCU12" s="313"/>
      <c r="TCV12" s="313"/>
      <c r="TCW12" s="313"/>
      <c r="TCX12" s="313"/>
      <c r="TCY12" s="95"/>
      <c r="TCZ12" s="313"/>
      <c r="TDA12" s="313"/>
      <c r="TDB12" s="313"/>
      <c r="TDC12" s="313"/>
      <c r="TDD12" s="313"/>
      <c r="TDE12" s="313"/>
      <c r="TDF12" s="313"/>
      <c r="TDG12" s="95"/>
      <c r="TDH12" s="313"/>
      <c r="TDI12" s="313"/>
      <c r="TDJ12" s="313"/>
      <c r="TDK12" s="313"/>
      <c r="TDL12" s="313"/>
      <c r="TDM12" s="313"/>
      <c r="TDN12" s="313"/>
      <c r="TDO12" s="95"/>
      <c r="TDP12" s="313"/>
      <c r="TDQ12" s="313"/>
      <c r="TDR12" s="313"/>
      <c r="TDS12" s="313"/>
      <c r="TDT12" s="313"/>
      <c r="TDU12" s="313"/>
      <c r="TDV12" s="313"/>
      <c r="TDW12" s="95"/>
      <c r="TDX12" s="313"/>
      <c r="TDY12" s="313"/>
      <c r="TDZ12" s="313"/>
      <c r="TEA12" s="313"/>
      <c r="TEB12" s="313"/>
      <c r="TEC12" s="313"/>
      <c r="TED12" s="313"/>
      <c r="TEE12" s="95"/>
      <c r="TEF12" s="313"/>
      <c r="TEG12" s="313"/>
      <c r="TEH12" s="313"/>
      <c r="TEI12" s="313"/>
      <c r="TEJ12" s="313"/>
      <c r="TEK12" s="313"/>
      <c r="TEL12" s="313"/>
      <c r="TEM12" s="95"/>
      <c r="TEN12" s="313"/>
      <c r="TEO12" s="313"/>
      <c r="TEP12" s="313"/>
      <c r="TEQ12" s="313"/>
      <c r="TER12" s="313"/>
      <c r="TES12" s="313"/>
      <c r="TET12" s="313"/>
      <c r="TEU12" s="95"/>
      <c r="TEV12" s="313"/>
      <c r="TEW12" s="313"/>
      <c r="TEX12" s="313"/>
      <c r="TEY12" s="313"/>
      <c r="TEZ12" s="313"/>
      <c r="TFA12" s="313"/>
      <c r="TFB12" s="313"/>
      <c r="TFC12" s="95"/>
      <c r="TFD12" s="313"/>
      <c r="TFE12" s="313"/>
      <c r="TFF12" s="313"/>
      <c r="TFG12" s="313"/>
      <c r="TFH12" s="313"/>
      <c r="TFI12" s="313"/>
      <c r="TFJ12" s="313"/>
      <c r="TFK12" s="95"/>
      <c r="TFL12" s="313"/>
      <c r="TFM12" s="313"/>
      <c r="TFN12" s="313"/>
      <c r="TFO12" s="313"/>
      <c r="TFP12" s="313"/>
      <c r="TFQ12" s="313"/>
      <c r="TFR12" s="313"/>
      <c r="TFS12" s="95"/>
      <c r="TFT12" s="313"/>
      <c r="TFU12" s="313"/>
      <c r="TFV12" s="313"/>
      <c r="TFW12" s="313"/>
      <c r="TFX12" s="313"/>
      <c r="TFY12" s="313"/>
      <c r="TFZ12" s="313"/>
      <c r="TGA12" s="95"/>
      <c r="TGB12" s="313"/>
      <c r="TGC12" s="313"/>
      <c r="TGD12" s="313"/>
      <c r="TGE12" s="313"/>
      <c r="TGF12" s="313"/>
      <c r="TGG12" s="313"/>
      <c r="TGH12" s="313"/>
      <c r="TGI12" s="95"/>
      <c r="TGJ12" s="313"/>
      <c r="TGK12" s="313"/>
      <c r="TGL12" s="313"/>
      <c r="TGM12" s="313"/>
      <c r="TGN12" s="313"/>
      <c r="TGO12" s="313"/>
      <c r="TGP12" s="313"/>
      <c r="TGQ12" s="95"/>
      <c r="TGR12" s="313"/>
      <c r="TGS12" s="313"/>
      <c r="TGT12" s="313"/>
      <c r="TGU12" s="313"/>
      <c r="TGV12" s="313"/>
      <c r="TGW12" s="313"/>
      <c r="TGX12" s="313"/>
      <c r="TGY12" s="95"/>
      <c r="TGZ12" s="313"/>
      <c r="THA12" s="313"/>
      <c r="THB12" s="313"/>
      <c r="THC12" s="313"/>
      <c r="THD12" s="313"/>
      <c r="THE12" s="313"/>
      <c r="THF12" s="313"/>
      <c r="THG12" s="95"/>
      <c r="THH12" s="313"/>
      <c r="THI12" s="313"/>
      <c r="THJ12" s="313"/>
      <c r="THK12" s="313"/>
      <c r="THL12" s="313"/>
      <c r="THM12" s="313"/>
      <c r="THN12" s="313"/>
      <c r="THO12" s="95"/>
      <c r="THP12" s="313"/>
      <c r="THQ12" s="313"/>
      <c r="THR12" s="313"/>
      <c r="THS12" s="313"/>
      <c r="THT12" s="313"/>
      <c r="THU12" s="313"/>
      <c r="THV12" s="313"/>
      <c r="THW12" s="95"/>
      <c r="THX12" s="313"/>
      <c r="THY12" s="313"/>
      <c r="THZ12" s="313"/>
      <c r="TIA12" s="313"/>
      <c r="TIB12" s="313"/>
      <c r="TIC12" s="313"/>
      <c r="TID12" s="313"/>
      <c r="TIE12" s="95"/>
      <c r="TIF12" s="313"/>
      <c r="TIG12" s="313"/>
      <c r="TIH12" s="313"/>
      <c r="TII12" s="313"/>
      <c r="TIJ12" s="313"/>
      <c r="TIK12" s="313"/>
      <c r="TIL12" s="313"/>
      <c r="TIM12" s="95"/>
      <c r="TIN12" s="313"/>
      <c r="TIO12" s="313"/>
      <c r="TIP12" s="313"/>
      <c r="TIQ12" s="313"/>
      <c r="TIR12" s="313"/>
      <c r="TIS12" s="313"/>
      <c r="TIT12" s="313"/>
      <c r="TIU12" s="95"/>
      <c r="TIV12" s="313"/>
      <c r="TIW12" s="313"/>
      <c r="TIX12" s="313"/>
      <c r="TIY12" s="313"/>
      <c r="TIZ12" s="313"/>
      <c r="TJA12" s="313"/>
      <c r="TJB12" s="313"/>
      <c r="TJC12" s="95"/>
      <c r="TJD12" s="313"/>
      <c r="TJE12" s="313"/>
      <c r="TJF12" s="313"/>
      <c r="TJG12" s="313"/>
      <c r="TJH12" s="313"/>
      <c r="TJI12" s="313"/>
      <c r="TJJ12" s="313"/>
      <c r="TJK12" s="95"/>
      <c r="TJL12" s="313"/>
      <c r="TJM12" s="313"/>
      <c r="TJN12" s="313"/>
      <c r="TJO12" s="313"/>
      <c r="TJP12" s="313"/>
      <c r="TJQ12" s="313"/>
      <c r="TJR12" s="313"/>
      <c r="TJS12" s="95"/>
      <c r="TJT12" s="313"/>
      <c r="TJU12" s="313"/>
      <c r="TJV12" s="313"/>
      <c r="TJW12" s="313"/>
      <c r="TJX12" s="313"/>
      <c r="TJY12" s="313"/>
      <c r="TJZ12" s="313"/>
      <c r="TKA12" s="95"/>
      <c r="TKB12" s="313"/>
      <c r="TKC12" s="313"/>
      <c r="TKD12" s="313"/>
      <c r="TKE12" s="313"/>
      <c r="TKF12" s="313"/>
      <c r="TKG12" s="313"/>
      <c r="TKH12" s="313"/>
      <c r="TKI12" s="95"/>
      <c r="TKJ12" s="313"/>
      <c r="TKK12" s="313"/>
      <c r="TKL12" s="313"/>
      <c r="TKM12" s="313"/>
      <c r="TKN12" s="313"/>
      <c r="TKO12" s="313"/>
      <c r="TKP12" s="313"/>
      <c r="TKQ12" s="95"/>
      <c r="TKR12" s="313"/>
      <c r="TKS12" s="313"/>
      <c r="TKT12" s="313"/>
      <c r="TKU12" s="313"/>
      <c r="TKV12" s="313"/>
      <c r="TKW12" s="313"/>
      <c r="TKX12" s="313"/>
      <c r="TKY12" s="95"/>
      <c r="TKZ12" s="313"/>
      <c r="TLA12" s="313"/>
      <c r="TLB12" s="313"/>
      <c r="TLC12" s="313"/>
      <c r="TLD12" s="313"/>
      <c r="TLE12" s="313"/>
      <c r="TLF12" s="313"/>
      <c r="TLG12" s="95"/>
      <c r="TLH12" s="313"/>
      <c r="TLI12" s="313"/>
      <c r="TLJ12" s="313"/>
      <c r="TLK12" s="313"/>
      <c r="TLL12" s="313"/>
      <c r="TLM12" s="313"/>
      <c r="TLN12" s="313"/>
      <c r="TLO12" s="95"/>
      <c r="TLP12" s="313"/>
      <c r="TLQ12" s="313"/>
      <c r="TLR12" s="313"/>
      <c r="TLS12" s="313"/>
      <c r="TLT12" s="313"/>
      <c r="TLU12" s="313"/>
      <c r="TLV12" s="313"/>
      <c r="TLW12" s="95"/>
      <c r="TLX12" s="313"/>
      <c r="TLY12" s="313"/>
      <c r="TLZ12" s="313"/>
      <c r="TMA12" s="313"/>
      <c r="TMB12" s="313"/>
      <c r="TMC12" s="313"/>
      <c r="TMD12" s="313"/>
      <c r="TME12" s="95"/>
      <c r="TMF12" s="313"/>
      <c r="TMG12" s="313"/>
      <c r="TMH12" s="313"/>
      <c r="TMI12" s="313"/>
      <c r="TMJ12" s="313"/>
      <c r="TMK12" s="313"/>
      <c r="TML12" s="313"/>
      <c r="TMM12" s="95"/>
      <c r="TMN12" s="313"/>
      <c r="TMO12" s="313"/>
      <c r="TMP12" s="313"/>
      <c r="TMQ12" s="313"/>
      <c r="TMR12" s="313"/>
      <c r="TMS12" s="313"/>
      <c r="TMT12" s="313"/>
      <c r="TMU12" s="95"/>
      <c r="TMV12" s="313"/>
      <c r="TMW12" s="313"/>
      <c r="TMX12" s="313"/>
      <c r="TMY12" s="313"/>
      <c r="TMZ12" s="313"/>
      <c r="TNA12" s="313"/>
      <c r="TNB12" s="313"/>
      <c r="TNC12" s="95"/>
      <c r="TND12" s="313"/>
      <c r="TNE12" s="313"/>
      <c r="TNF12" s="313"/>
      <c r="TNG12" s="313"/>
      <c r="TNH12" s="313"/>
      <c r="TNI12" s="313"/>
      <c r="TNJ12" s="313"/>
      <c r="TNK12" s="95"/>
      <c r="TNL12" s="313"/>
      <c r="TNM12" s="313"/>
      <c r="TNN12" s="313"/>
      <c r="TNO12" s="313"/>
      <c r="TNP12" s="313"/>
      <c r="TNQ12" s="313"/>
      <c r="TNR12" s="313"/>
      <c r="TNS12" s="95"/>
      <c r="TNT12" s="313"/>
      <c r="TNU12" s="313"/>
      <c r="TNV12" s="313"/>
      <c r="TNW12" s="313"/>
      <c r="TNX12" s="313"/>
      <c r="TNY12" s="313"/>
      <c r="TNZ12" s="313"/>
      <c r="TOA12" s="95"/>
      <c r="TOB12" s="313"/>
      <c r="TOC12" s="313"/>
      <c r="TOD12" s="313"/>
      <c r="TOE12" s="313"/>
      <c r="TOF12" s="313"/>
      <c r="TOG12" s="313"/>
      <c r="TOH12" s="313"/>
      <c r="TOI12" s="95"/>
      <c r="TOJ12" s="313"/>
      <c r="TOK12" s="313"/>
      <c r="TOL12" s="313"/>
      <c r="TOM12" s="313"/>
      <c r="TON12" s="313"/>
      <c r="TOO12" s="313"/>
      <c r="TOP12" s="313"/>
      <c r="TOQ12" s="95"/>
      <c r="TOR12" s="313"/>
      <c r="TOS12" s="313"/>
      <c r="TOT12" s="313"/>
      <c r="TOU12" s="313"/>
      <c r="TOV12" s="313"/>
      <c r="TOW12" s="313"/>
      <c r="TOX12" s="313"/>
      <c r="TOY12" s="95"/>
      <c r="TOZ12" s="313"/>
      <c r="TPA12" s="313"/>
      <c r="TPB12" s="313"/>
      <c r="TPC12" s="313"/>
      <c r="TPD12" s="313"/>
      <c r="TPE12" s="313"/>
      <c r="TPF12" s="313"/>
      <c r="TPG12" s="95"/>
      <c r="TPH12" s="313"/>
      <c r="TPI12" s="313"/>
      <c r="TPJ12" s="313"/>
      <c r="TPK12" s="313"/>
      <c r="TPL12" s="313"/>
      <c r="TPM12" s="313"/>
      <c r="TPN12" s="313"/>
      <c r="TPO12" s="95"/>
      <c r="TPP12" s="313"/>
      <c r="TPQ12" s="313"/>
      <c r="TPR12" s="313"/>
      <c r="TPS12" s="313"/>
      <c r="TPT12" s="313"/>
      <c r="TPU12" s="313"/>
      <c r="TPV12" s="313"/>
      <c r="TPW12" s="95"/>
      <c r="TPX12" s="313"/>
      <c r="TPY12" s="313"/>
      <c r="TPZ12" s="313"/>
      <c r="TQA12" s="313"/>
      <c r="TQB12" s="313"/>
      <c r="TQC12" s="313"/>
      <c r="TQD12" s="313"/>
      <c r="TQE12" s="95"/>
      <c r="TQF12" s="313"/>
      <c r="TQG12" s="313"/>
      <c r="TQH12" s="313"/>
      <c r="TQI12" s="313"/>
      <c r="TQJ12" s="313"/>
      <c r="TQK12" s="313"/>
      <c r="TQL12" s="313"/>
      <c r="TQM12" s="95"/>
      <c r="TQN12" s="313"/>
      <c r="TQO12" s="313"/>
      <c r="TQP12" s="313"/>
      <c r="TQQ12" s="313"/>
      <c r="TQR12" s="313"/>
      <c r="TQS12" s="313"/>
      <c r="TQT12" s="313"/>
      <c r="TQU12" s="95"/>
      <c r="TQV12" s="313"/>
      <c r="TQW12" s="313"/>
      <c r="TQX12" s="313"/>
      <c r="TQY12" s="313"/>
      <c r="TQZ12" s="313"/>
      <c r="TRA12" s="313"/>
      <c r="TRB12" s="313"/>
      <c r="TRC12" s="95"/>
      <c r="TRD12" s="313"/>
      <c r="TRE12" s="313"/>
      <c r="TRF12" s="313"/>
      <c r="TRG12" s="313"/>
      <c r="TRH12" s="313"/>
      <c r="TRI12" s="313"/>
      <c r="TRJ12" s="313"/>
      <c r="TRK12" s="95"/>
      <c r="TRL12" s="313"/>
      <c r="TRM12" s="313"/>
      <c r="TRN12" s="313"/>
      <c r="TRO12" s="313"/>
      <c r="TRP12" s="313"/>
      <c r="TRQ12" s="313"/>
      <c r="TRR12" s="313"/>
      <c r="TRS12" s="95"/>
      <c r="TRT12" s="313"/>
      <c r="TRU12" s="313"/>
      <c r="TRV12" s="313"/>
      <c r="TRW12" s="313"/>
      <c r="TRX12" s="313"/>
      <c r="TRY12" s="313"/>
      <c r="TRZ12" s="313"/>
      <c r="TSA12" s="95"/>
      <c r="TSB12" s="313"/>
      <c r="TSC12" s="313"/>
      <c r="TSD12" s="313"/>
      <c r="TSE12" s="313"/>
      <c r="TSF12" s="313"/>
      <c r="TSG12" s="313"/>
      <c r="TSH12" s="313"/>
      <c r="TSI12" s="95"/>
      <c r="TSJ12" s="313"/>
      <c r="TSK12" s="313"/>
      <c r="TSL12" s="313"/>
      <c r="TSM12" s="313"/>
      <c r="TSN12" s="313"/>
      <c r="TSO12" s="313"/>
      <c r="TSP12" s="313"/>
      <c r="TSQ12" s="95"/>
      <c r="TSR12" s="313"/>
      <c r="TSS12" s="313"/>
      <c r="TST12" s="313"/>
      <c r="TSU12" s="313"/>
      <c r="TSV12" s="313"/>
      <c r="TSW12" s="313"/>
      <c r="TSX12" s="313"/>
      <c r="TSY12" s="95"/>
      <c r="TSZ12" s="313"/>
      <c r="TTA12" s="313"/>
      <c r="TTB12" s="313"/>
      <c r="TTC12" s="313"/>
      <c r="TTD12" s="313"/>
      <c r="TTE12" s="313"/>
      <c r="TTF12" s="313"/>
      <c r="TTG12" s="95"/>
      <c r="TTH12" s="313"/>
      <c r="TTI12" s="313"/>
      <c r="TTJ12" s="313"/>
      <c r="TTK12" s="313"/>
      <c r="TTL12" s="313"/>
      <c r="TTM12" s="313"/>
      <c r="TTN12" s="313"/>
      <c r="TTO12" s="95"/>
      <c r="TTP12" s="313"/>
      <c r="TTQ12" s="313"/>
      <c r="TTR12" s="313"/>
      <c r="TTS12" s="313"/>
      <c r="TTT12" s="313"/>
      <c r="TTU12" s="313"/>
      <c r="TTV12" s="313"/>
      <c r="TTW12" s="95"/>
      <c r="TTX12" s="313"/>
      <c r="TTY12" s="313"/>
      <c r="TTZ12" s="313"/>
      <c r="TUA12" s="313"/>
      <c r="TUB12" s="313"/>
      <c r="TUC12" s="313"/>
      <c r="TUD12" s="313"/>
      <c r="TUE12" s="95"/>
      <c r="TUF12" s="313"/>
      <c r="TUG12" s="313"/>
      <c r="TUH12" s="313"/>
      <c r="TUI12" s="313"/>
      <c r="TUJ12" s="313"/>
      <c r="TUK12" s="313"/>
      <c r="TUL12" s="313"/>
      <c r="TUM12" s="95"/>
      <c r="TUN12" s="313"/>
      <c r="TUO12" s="313"/>
      <c r="TUP12" s="313"/>
      <c r="TUQ12" s="313"/>
      <c r="TUR12" s="313"/>
      <c r="TUS12" s="313"/>
      <c r="TUT12" s="313"/>
      <c r="TUU12" s="95"/>
      <c r="TUV12" s="313"/>
      <c r="TUW12" s="313"/>
      <c r="TUX12" s="313"/>
      <c r="TUY12" s="313"/>
      <c r="TUZ12" s="313"/>
      <c r="TVA12" s="313"/>
      <c r="TVB12" s="313"/>
      <c r="TVC12" s="95"/>
      <c r="TVD12" s="313"/>
      <c r="TVE12" s="313"/>
      <c r="TVF12" s="313"/>
      <c r="TVG12" s="313"/>
      <c r="TVH12" s="313"/>
      <c r="TVI12" s="313"/>
      <c r="TVJ12" s="313"/>
      <c r="TVK12" s="95"/>
      <c r="TVL12" s="313"/>
      <c r="TVM12" s="313"/>
      <c r="TVN12" s="313"/>
      <c r="TVO12" s="313"/>
      <c r="TVP12" s="313"/>
      <c r="TVQ12" s="313"/>
      <c r="TVR12" s="313"/>
      <c r="TVS12" s="95"/>
      <c r="TVT12" s="313"/>
      <c r="TVU12" s="313"/>
      <c r="TVV12" s="313"/>
      <c r="TVW12" s="313"/>
      <c r="TVX12" s="313"/>
      <c r="TVY12" s="313"/>
      <c r="TVZ12" s="313"/>
      <c r="TWA12" s="95"/>
      <c r="TWB12" s="313"/>
      <c r="TWC12" s="313"/>
      <c r="TWD12" s="313"/>
      <c r="TWE12" s="313"/>
      <c r="TWF12" s="313"/>
      <c r="TWG12" s="313"/>
      <c r="TWH12" s="313"/>
      <c r="TWI12" s="95"/>
      <c r="TWJ12" s="313"/>
      <c r="TWK12" s="313"/>
      <c r="TWL12" s="313"/>
      <c r="TWM12" s="313"/>
      <c r="TWN12" s="313"/>
      <c r="TWO12" s="313"/>
      <c r="TWP12" s="313"/>
      <c r="TWQ12" s="95"/>
      <c r="TWR12" s="313"/>
      <c r="TWS12" s="313"/>
      <c r="TWT12" s="313"/>
      <c r="TWU12" s="313"/>
      <c r="TWV12" s="313"/>
      <c r="TWW12" s="313"/>
      <c r="TWX12" s="313"/>
      <c r="TWY12" s="95"/>
      <c r="TWZ12" s="313"/>
      <c r="TXA12" s="313"/>
      <c r="TXB12" s="313"/>
      <c r="TXC12" s="313"/>
      <c r="TXD12" s="313"/>
      <c r="TXE12" s="313"/>
      <c r="TXF12" s="313"/>
      <c r="TXG12" s="95"/>
      <c r="TXH12" s="313"/>
      <c r="TXI12" s="313"/>
      <c r="TXJ12" s="313"/>
      <c r="TXK12" s="313"/>
      <c r="TXL12" s="313"/>
      <c r="TXM12" s="313"/>
      <c r="TXN12" s="313"/>
      <c r="TXO12" s="95"/>
      <c r="TXP12" s="313"/>
      <c r="TXQ12" s="313"/>
      <c r="TXR12" s="313"/>
      <c r="TXS12" s="313"/>
      <c r="TXT12" s="313"/>
      <c r="TXU12" s="313"/>
      <c r="TXV12" s="313"/>
      <c r="TXW12" s="95"/>
      <c r="TXX12" s="313"/>
      <c r="TXY12" s="313"/>
      <c r="TXZ12" s="313"/>
      <c r="TYA12" s="313"/>
      <c r="TYB12" s="313"/>
      <c r="TYC12" s="313"/>
      <c r="TYD12" s="313"/>
      <c r="TYE12" s="95"/>
      <c r="TYF12" s="313"/>
      <c r="TYG12" s="313"/>
      <c r="TYH12" s="313"/>
      <c r="TYI12" s="313"/>
      <c r="TYJ12" s="313"/>
      <c r="TYK12" s="313"/>
      <c r="TYL12" s="313"/>
      <c r="TYM12" s="95"/>
      <c r="TYN12" s="313"/>
      <c r="TYO12" s="313"/>
      <c r="TYP12" s="313"/>
      <c r="TYQ12" s="313"/>
      <c r="TYR12" s="313"/>
      <c r="TYS12" s="313"/>
      <c r="TYT12" s="313"/>
      <c r="TYU12" s="95"/>
      <c r="TYV12" s="313"/>
      <c r="TYW12" s="313"/>
      <c r="TYX12" s="313"/>
      <c r="TYY12" s="313"/>
      <c r="TYZ12" s="313"/>
      <c r="TZA12" s="313"/>
      <c r="TZB12" s="313"/>
      <c r="TZC12" s="95"/>
      <c r="TZD12" s="313"/>
      <c r="TZE12" s="313"/>
      <c r="TZF12" s="313"/>
      <c r="TZG12" s="313"/>
      <c r="TZH12" s="313"/>
      <c r="TZI12" s="313"/>
      <c r="TZJ12" s="313"/>
      <c r="TZK12" s="95"/>
      <c r="TZL12" s="313"/>
      <c r="TZM12" s="313"/>
      <c r="TZN12" s="313"/>
      <c r="TZO12" s="313"/>
      <c r="TZP12" s="313"/>
      <c r="TZQ12" s="313"/>
      <c r="TZR12" s="313"/>
      <c r="TZS12" s="95"/>
      <c r="TZT12" s="313"/>
      <c r="TZU12" s="313"/>
      <c r="TZV12" s="313"/>
      <c r="TZW12" s="313"/>
      <c r="TZX12" s="313"/>
      <c r="TZY12" s="313"/>
      <c r="TZZ12" s="313"/>
      <c r="UAA12" s="95"/>
      <c r="UAB12" s="313"/>
      <c r="UAC12" s="313"/>
      <c r="UAD12" s="313"/>
      <c r="UAE12" s="313"/>
      <c r="UAF12" s="313"/>
      <c r="UAG12" s="313"/>
      <c r="UAH12" s="313"/>
      <c r="UAI12" s="95"/>
      <c r="UAJ12" s="313"/>
      <c r="UAK12" s="313"/>
      <c r="UAL12" s="313"/>
      <c r="UAM12" s="313"/>
      <c r="UAN12" s="313"/>
      <c r="UAO12" s="313"/>
      <c r="UAP12" s="313"/>
      <c r="UAQ12" s="95"/>
      <c r="UAR12" s="313"/>
      <c r="UAS12" s="313"/>
      <c r="UAT12" s="313"/>
      <c r="UAU12" s="313"/>
      <c r="UAV12" s="313"/>
      <c r="UAW12" s="313"/>
      <c r="UAX12" s="313"/>
      <c r="UAY12" s="95"/>
      <c r="UAZ12" s="313"/>
      <c r="UBA12" s="313"/>
      <c r="UBB12" s="313"/>
      <c r="UBC12" s="313"/>
      <c r="UBD12" s="313"/>
      <c r="UBE12" s="313"/>
      <c r="UBF12" s="313"/>
      <c r="UBG12" s="95"/>
      <c r="UBH12" s="313"/>
      <c r="UBI12" s="313"/>
      <c r="UBJ12" s="313"/>
      <c r="UBK12" s="313"/>
      <c r="UBL12" s="313"/>
      <c r="UBM12" s="313"/>
      <c r="UBN12" s="313"/>
      <c r="UBO12" s="95"/>
      <c r="UBP12" s="313"/>
      <c r="UBQ12" s="313"/>
      <c r="UBR12" s="313"/>
      <c r="UBS12" s="313"/>
      <c r="UBT12" s="313"/>
      <c r="UBU12" s="313"/>
      <c r="UBV12" s="313"/>
      <c r="UBW12" s="95"/>
      <c r="UBX12" s="313"/>
      <c r="UBY12" s="313"/>
      <c r="UBZ12" s="313"/>
      <c r="UCA12" s="313"/>
      <c r="UCB12" s="313"/>
      <c r="UCC12" s="313"/>
      <c r="UCD12" s="313"/>
      <c r="UCE12" s="95"/>
      <c r="UCF12" s="313"/>
      <c r="UCG12" s="313"/>
      <c r="UCH12" s="313"/>
      <c r="UCI12" s="313"/>
      <c r="UCJ12" s="313"/>
      <c r="UCK12" s="313"/>
      <c r="UCL12" s="313"/>
      <c r="UCM12" s="95"/>
      <c r="UCN12" s="313"/>
      <c r="UCO12" s="313"/>
      <c r="UCP12" s="313"/>
      <c r="UCQ12" s="313"/>
      <c r="UCR12" s="313"/>
      <c r="UCS12" s="313"/>
      <c r="UCT12" s="313"/>
      <c r="UCU12" s="95"/>
      <c r="UCV12" s="313"/>
      <c r="UCW12" s="313"/>
      <c r="UCX12" s="313"/>
      <c r="UCY12" s="313"/>
      <c r="UCZ12" s="313"/>
      <c r="UDA12" s="313"/>
      <c r="UDB12" s="313"/>
      <c r="UDC12" s="95"/>
      <c r="UDD12" s="313"/>
      <c r="UDE12" s="313"/>
      <c r="UDF12" s="313"/>
      <c r="UDG12" s="313"/>
      <c r="UDH12" s="313"/>
      <c r="UDI12" s="313"/>
      <c r="UDJ12" s="313"/>
      <c r="UDK12" s="95"/>
      <c r="UDL12" s="313"/>
      <c r="UDM12" s="313"/>
      <c r="UDN12" s="313"/>
      <c r="UDO12" s="313"/>
      <c r="UDP12" s="313"/>
      <c r="UDQ12" s="313"/>
      <c r="UDR12" s="313"/>
      <c r="UDS12" s="95"/>
      <c r="UDT12" s="313"/>
      <c r="UDU12" s="313"/>
      <c r="UDV12" s="313"/>
      <c r="UDW12" s="313"/>
      <c r="UDX12" s="313"/>
      <c r="UDY12" s="313"/>
      <c r="UDZ12" s="313"/>
      <c r="UEA12" s="95"/>
      <c r="UEB12" s="313"/>
      <c r="UEC12" s="313"/>
      <c r="UED12" s="313"/>
      <c r="UEE12" s="313"/>
      <c r="UEF12" s="313"/>
      <c r="UEG12" s="313"/>
      <c r="UEH12" s="313"/>
      <c r="UEI12" s="95"/>
      <c r="UEJ12" s="313"/>
      <c r="UEK12" s="313"/>
      <c r="UEL12" s="313"/>
      <c r="UEM12" s="313"/>
      <c r="UEN12" s="313"/>
      <c r="UEO12" s="313"/>
      <c r="UEP12" s="313"/>
      <c r="UEQ12" s="95"/>
      <c r="UER12" s="313"/>
      <c r="UES12" s="313"/>
      <c r="UET12" s="313"/>
      <c r="UEU12" s="313"/>
      <c r="UEV12" s="313"/>
      <c r="UEW12" s="313"/>
      <c r="UEX12" s="313"/>
      <c r="UEY12" s="95"/>
      <c r="UEZ12" s="313"/>
      <c r="UFA12" s="313"/>
      <c r="UFB12" s="313"/>
      <c r="UFC12" s="313"/>
      <c r="UFD12" s="313"/>
      <c r="UFE12" s="313"/>
      <c r="UFF12" s="313"/>
      <c r="UFG12" s="95"/>
      <c r="UFH12" s="313"/>
      <c r="UFI12" s="313"/>
      <c r="UFJ12" s="313"/>
      <c r="UFK12" s="313"/>
      <c r="UFL12" s="313"/>
      <c r="UFM12" s="313"/>
      <c r="UFN12" s="313"/>
      <c r="UFO12" s="95"/>
      <c r="UFP12" s="313"/>
      <c r="UFQ12" s="313"/>
      <c r="UFR12" s="313"/>
      <c r="UFS12" s="313"/>
      <c r="UFT12" s="313"/>
      <c r="UFU12" s="313"/>
      <c r="UFV12" s="313"/>
      <c r="UFW12" s="95"/>
      <c r="UFX12" s="313"/>
      <c r="UFY12" s="313"/>
      <c r="UFZ12" s="313"/>
      <c r="UGA12" s="313"/>
      <c r="UGB12" s="313"/>
      <c r="UGC12" s="313"/>
      <c r="UGD12" s="313"/>
      <c r="UGE12" s="95"/>
      <c r="UGF12" s="313"/>
      <c r="UGG12" s="313"/>
      <c r="UGH12" s="313"/>
      <c r="UGI12" s="313"/>
      <c r="UGJ12" s="313"/>
      <c r="UGK12" s="313"/>
      <c r="UGL12" s="313"/>
      <c r="UGM12" s="95"/>
      <c r="UGN12" s="313"/>
      <c r="UGO12" s="313"/>
      <c r="UGP12" s="313"/>
      <c r="UGQ12" s="313"/>
      <c r="UGR12" s="313"/>
      <c r="UGS12" s="313"/>
      <c r="UGT12" s="313"/>
      <c r="UGU12" s="95"/>
      <c r="UGV12" s="313"/>
      <c r="UGW12" s="313"/>
      <c r="UGX12" s="313"/>
      <c r="UGY12" s="313"/>
      <c r="UGZ12" s="313"/>
      <c r="UHA12" s="313"/>
      <c r="UHB12" s="313"/>
      <c r="UHC12" s="95"/>
      <c r="UHD12" s="313"/>
      <c r="UHE12" s="313"/>
      <c r="UHF12" s="313"/>
      <c r="UHG12" s="313"/>
      <c r="UHH12" s="313"/>
      <c r="UHI12" s="313"/>
      <c r="UHJ12" s="313"/>
      <c r="UHK12" s="95"/>
      <c r="UHL12" s="313"/>
      <c r="UHM12" s="313"/>
      <c r="UHN12" s="313"/>
      <c r="UHO12" s="313"/>
      <c r="UHP12" s="313"/>
      <c r="UHQ12" s="313"/>
      <c r="UHR12" s="313"/>
      <c r="UHS12" s="95"/>
      <c r="UHT12" s="313"/>
      <c r="UHU12" s="313"/>
      <c r="UHV12" s="313"/>
      <c r="UHW12" s="313"/>
      <c r="UHX12" s="313"/>
      <c r="UHY12" s="313"/>
      <c r="UHZ12" s="313"/>
      <c r="UIA12" s="95"/>
      <c r="UIB12" s="313"/>
      <c r="UIC12" s="313"/>
      <c r="UID12" s="313"/>
      <c r="UIE12" s="313"/>
      <c r="UIF12" s="313"/>
      <c r="UIG12" s="313"/>
      <c r="UIH12" s="313"/>
      <c r="UII12" s="95"/>
      <c r="UIJ12" s="313"/>
      <c r="UIK12" s="313"/>
      <c r="UIL12" s="313"/>
      <c r="UIM12" s="313"/>
      <c r="UIN12" s="313"/>
      <c r="UIO12" s="313"/>
      <c r="UIP12" s="313"/>
      <c r="UIQ12" s="95"/>
      <c r="UIR12" s="313"/>
      <c r="UIS12" s="313"/>
      <c r="UIT12" s="313"/>
      <c r="UIU12" s="313"/>
      <c r="UIV12" s="313"/>
      <c r="UIW12" s="313"/>
      <c r="UIX12" s="313"/>
      <c r="UIY12" s="95"/>
      <c r="UIZ12" s="313"/>
      <c r="UJA12" s="313"/>
      <c r="UJB12" s="313"/>
      <c r="UJC12" s="313"/>
      <c r="UJD12" s="313"/>
      <c r="UJE12" s="313"/>
      <c r="UJF12" s="313"/>
      <c r="UJG12" s="95"/>
      <c r="UJH12" s="313"/>
      <c r="UJI12" s="313"/>
      <c r="UJJ12" s="313"/>
      <c r="UJK12" s="313"/>
      <c r="UJL12" s="313"/>
      <c r="UJM12" s="313"/>
      <c r="UJN12" s="313"/>
      <c r="UJO12" s="95"/>
      <c r="UJP12" s="313"/>
      <c r="UJQ12" s="313"/>
      <c r="UJR12" s="313"/>
      <c r="UJS12" s="313"/>
      <c r="UJT12" s="313"/>
      <c r="UJU12" s="313"/>
      <c r="UJV12" s="313"/>
      <c r="UJW12" s="95"/>
      <c r="UJX12" s="313"/>
      <c r="UJY12" s="313"/>
      <c r="UJZ12" s="313"/>
      <c r="UKA12" s="313"/>
      <c r="UKB12" s="313"/>
      <c r="UKC12" s="313"/>
      <c r="UKD12" s="313"/>
      <c r="UKE12" s="95"/>
      <c r="UKF12" s="313"/>
      <c r="UKG12" s="313"/>
      <c r="UKH12" s="313"/>
      <c r="UKI12" s="313"/>
      <c r="UKJ12" s="313"/>
      <c r="UKK12" s="313"/>
      <c r="UKL12" s="313"/>
      <c r="UKM12" s="95"/>
      <c r="UKN12" s="313"/>
      <c r="UKO12" s="313"/>
      <c r="UKP12" s="313"/>
      <c r="UKQ12" s="313"/>
      <c r="UKR12" s="313"/>
      <c r="UKS12" s="313"/>
      <c r="UKT12" s="313"/>
      <c r="UKU12" s="95"/>
      <c r="UKV12" s="313"/>
      <c r="UKW12" s="313"/>
      <c r="UKX12" s="313"/>
      <c r="UKY12" s="313"/>
      <c r="UKZ12" s="313"/>
      <c r="ULA12" s="313"/>
      <c r="ULB12" s="313"/>
      <c r="ULC12" s="95"/>
      <c r="ULD12" s="313"/>
      <c r="ULE12" s="313"/>
      <c r="ULF12" s="313"/>
      <c r="ULG12" s="313"/>
      <c r="ULH12" s="313"/>
      <c r="ULI12" s="313"/>
      <c r="ULJ12" s="313"/>
      <c r="ULK12" s="95"/>
      <c r="ULL12" s="313"/>
      <c r="ULM12" s="313"/>
      <c r="ULN12" s="313"/>
      <c r="ULO12" s="313"/>
      <c r="ULP12" s="313"/>
      <c r="ULQ12" s="313"/>
      <c r="ULR12" s="313"/>
      <c r="ULS12" s="95"/>
      <c r="ULT12" s="313"/>
      <c r="ULU12" s="313"/>
      <c r="ULV12" s="313"/>
      <c r="ULW12" s="313"/>
      <c r="ULX12" s="313"/>
      <c r="ULY12" s="313"/>
      <c r="ULZ12" s="313"/>
      <c r="UMA12" s="95"/>
      <c r="UMB12" s="313"/>
      <c r="UMC12" s="313"/>
      <c r="UMD12" s="313"/>
      <c r="UME12" s="313"/>
      <c r="UMF12" s="313"/>
      <c r="UMG12" s="313"/>
      <c r="UMH12" s="313"/>
      <c r="UMI12" s="95"/>
      <c r="UMJ12" s="313"/>
      <c r="UMK12" s="313"/>
      <c r="UML12" s="313"/>
      <c r="UMM12" s="313"/>
      <c r="UMN12" s="313"/>
      <c r="UMO12" s="313"/>
      <c r="UMP12" s="313"/>
      <c r="UMQ12" s="95"/>
      <c r="UMR12" s="313"/>
      <c r="UMS12" s="313"/>
      <c r="UMT12" s="313"/>
      <c r="UMU12" s="313"/>
      <c r="UMV12" s="313"/>
      <c r="UMW12" s="313"/>
      <c r="UMX12" s="313"/>
      <c r="UMY12" s="95"/>
      <c r="UMZ12" s="313"/>
      <c r="UNA12" s="313"/>
      <c r="UNB12" s="313"/>
      <c r="UNC12" s="313"/>
      <c r="UND12" s="313"/>
      <c r="UNE12" s="313"/>
      <c r="UNF12" s="313"/>
      <c r="UNG12" s="95"/>
      <c r="UNH12" s="313"/>
      <c r="UNI12" s="313"/>
      <c r="UNJ12" s="313"/>
      <c r="UNK12" s="313"/>
      <c r="UNL12" s="313"/>
      <c r="UNM12" s="313"/>
      <c r="UNN12" s="313"/>
      <c r="UNO12" s="95"/>
      <c r="UNP12" s="313"/>
      <c r="UNQ12" s="313"/>
      <c r="UNR12" s="313"/>
      <c r="UNS12" s="313"/>
      <c r="UNT12" s="313"/>
      <c r="UNU12" s="313"/>
      <c r="UNV12" s="313"/>
      <c r="UNW12" s="95"/>
      <c r="UNX12" s="313"/>
      <c r="UNY12" s="313"/>
      <c r="UNZ12" s="313"/>
      <c r="UOA12" s="313"/>
      <c r="UOB12" s="313"/>
      <c r="UOC12" s="313"/>
      <c r="UOD12" s="313"/>
      <c r="UOE12" s="95"/>
      <c r="UOF12" s="313"/>
      <c r="UOG12" s="313"/>
      <c r="UOH12" s="313"/>
      <c r="UOI12" s="313"/>
      <c r="UOJ12" s="313"/>
      <c r="UOK12" s="313"/>
      <c r="UOL12" s="313"/>
      <c r="UOM12" s="95"/>
      <c r="UON12" s="313"/>
      <c r="UOO12" s="313"/>
      <c r="UOP12" s="313"/>
      <c r="UOQ12" s="313"/>
      <c r="UOR12" s="313"/>
      <c r="UOS12" s="313"/>
      <c r="UOT12" s="313"/>
      <c r="UOU12" s="95"/>
      <c r="UOV12" s="313"/>
      <c r="UOW12" s="313"/>
      <c r="UOX12" s="313"/>
      <c r="UOY12" s="313"/>
      <c r="UOZ12" s="313"/>
      <c r="UPA12" s="313"/>
      <c r="UPB12" s="313"/>
      <c r="UPC12" s="95"/>
      <c r="UPD12" s="313"/>
      <c r="UPE12" s="313"/>
      <c r="UPF12" s="313"/>
      <c r="UPG12" s="313"/>
      <c r="UPH12" s="313"/>
      <c r="UPI12" s="313"/>
      <c r="UPJ12" s="313"/>
      <c r="UPK12" s="95"/>
      <c r="UPL12" s="313"/>
      <c r="UPM12" s="313"/>
      <c r="UPN12" s="313"/>
      <c r="UPO12" s="313"/>
      <c r="UPP12" s="313"/>
      <c r="UPQ12" s="313"/>
      <c r="UPR12" s="313"/>
      <c r="UPS12" s="95"/>
      <c r="UPT12" s="313"/>
      <c r="UPU12" s="313"/>
      <c r="UPV12" s="313"/>
      <c r="UPW12" s="313"/>
      <c r="UPX12" s="313"/>
      <c r="UPY12" s="313"/>
      <c r="UPZ12" s="313"/>
      <c r="UQA12" s="95"/>
      <c r="UQB12" s="313"/>
      <c r="UQC12" s="313"/>
      <c r="UQD12" s="313"/>
      <c r="UQE12" s="313"/>
      <c r="UQF12" s="313"/>
      <c r="UQG12" s="313"/>
      <c r="UQH12" s="313"/>
      <c r="UQI12" s="95"/>
      <c r="UQJ12" s="313"/>
      <c r="UQK12" s="313"/>
      <c r="UQL12" s="313"/>
      <c r="UQM12" s="313"/>
      <c r="UQN12" s="313"/>
      <c r="UQO12" s="313"/>
      <c r="UQP12" s="313"/>
      <c r="UQQ12" s="95"/>
      <c r="UQR12" s="313"/>
      <c r="UQS12" s="313"/>
      <c r="UQT12" s="313"/>
      <c r="UQU12" s="313"/>
      <c r="UQV12" s="313"/>
      <c r="UQW12" s="313"/>
      <c r="UQX12" s="313"/>
      <c r="UQY12" s="95"/>
      <c r="UQZ12" s="313"/>
      <c r="URA12" s="313"/>
      <c r="URB12" s="313"/>
      <c r="URC12" s="313"/>
      <c r="URD12" s="313"/>
      <c r="URE12" s="313"/>
      <c r="URF12" s="313"/>
      <c r="URG12" s="95"/>
      <c r="URH12" s="313"/>
      <c r="URI12" s="313"/>
      <c r="URJ12" s="313"/>
      <c r="URK12" s="313"/>
      <c r="URL12" s="313"/>
      <c r="URM12" s="313"/>
      <c r="URN12" s="313"/>
      <c r="URO12" s="95"/>
      <c r="URP12" s="313"/>
      <c r="URQ12" s="313"/>
      <c r="URR12" s="313"/>
      <c r="URS12" s="313"/>
      <c r="URT12" s="313"/>
      <c r="URU12" s="313"/>
      <c r="URV12" s="313"/>
      <c r="URW12" s="95"/>
      <c r="URX12" s="313"/>
      <c r="URY12" s="313"/>
      <c r="URZ12" s="313"/>
      <c r="USA12" s="313"/>
      <c r="USB12" s="313"/>
      <c r="USC12" s="313"/>
      <c r="USD12" s="313"/>
      <c r="USE12" s="95"/>
      <c r="USF12" s="313"/>
      <c r="USG12" s="313"/>
      <c r="USH12" s="313"/>
      <c r="USI12" s="313"/>
      <c r="USJ12" s="313"/>
      <c r="USK12" s="313"/>
      <c r="USL12" s="313"/>
      <c r="USM12" s="95"/>
      <c r="USN12" s="313"/>
      <c r="USO12" s="313"/>
      <c r="USP12" s="313"/>
      <c r="USQ12" s="313"/>
      <c r="USR12" s="313"/>
      <c r="USS12" s="313"/>
      <c r="UST12" s="313"/>
      <c r="USU12" s="95"/>
      <c r="USV12" s="313"/>
      <c r="USW12" s="313"/>
      <c r="USX12" s="313"/>
      <c r="USY12" s="313"/>
      <c r="USZ12" s="313"/>
      <c r="UTA12" s="313"/>
      <c r="UTB12" s="313"/>
      <c r="UTC12" s="95"/>
      <c r="UTD12" s="313"/>
      <c r="UTE12" s="313"/>
      <c r="UTF12" s="313"/>
      <c r="UTG12" s="313"/>
      <c r="UTH12" s="313"/>
      <c r="UTI12" s="313"/>
      <c r="UTJ12" s="313"/>
      <c r="UTK12" s="95"/>
      <c r="UTL12" s="313"/>
      <c r="UTM12" s="313"/>
      <c r="UTN12" s="313"/>
      <c r="UTO12" s="313"/>
      <c r="UTP12" s="313"/>
      <c r="UTQ12" s="313"/>
      <c r="UTR12" s="313"/>
      <c r="UTS12" s="95"/>
      <c r="UTT12" s="313"/>
      <c r="UTU12" s="313"/>
      <c r="UTV12" s="313"/>
      <c r="UTW12" s="313"/>
      <c r="UTX12" s="313"/>
      <c r="UTY12" s="313"/>
      <c r="UTZ12" s="313"/>
      <c r="UUA12" s="95"/>
      <c r="UUB12" s="313"/>
      <c r="UUC12" s="313"/>
      <c r="UUD12" s="313"/>
      <c r="UUE12" s="313"/>
      <c r="UUF12" s="313"/>
      <c r="UUG12" s="313"/>
      <c r="UUH12" s="313"/>
      <c r="UUI12" s="95"/>
      <c r="UUJ12" s="313"/>
      <c r="UUK12" s="313"/>
      <c r="UUL12" s="313"/>
      <c r="UUM12" s="313"/>
      <c r="UUN12" s="313"/>
      <c r="UUO12" s="313"/>
      <c r="UUP12" s="313"/>
      <c r="UUQ12" s="95"/>
      <c r="UUR12" s="313"/>
      <c r="UUS12" s="313"/>
      <c r="UUT12" s="313"/>
      <c r="UUU12" s="313"/>
      <c r="UUV12" s="313"/>
      <c r="UUW12" s="313"/>
      <c r="UUX12" s="313"/>
      <c r="UUY12" s="95"/>
      <c r="UUZ12" s="313"/>
      <c r="UVA12" s="313"/>
      <c r="UVB12" s="313"/>
      <c r="UVC12" s="313"/>
      <c r="UVD12" s="313"/>
      <c r="UVE12" s="313"/>
      <c r="UVF12" s="313"/>
      <c r="UVG12" s="95"/>
      <c r="UVH12" s="313"/>
      <c r="UVI12" s="313"/>
      <c r="UVJ12" s="313"/>
      <c r="UVK12" s="313"/>
      <c r="UVL12" s="313"/>
      <c r="UVM12" s="313"/>
      <c r="UVN12" s="313"/>
      <c r="UVO12" s="95"/>
      <c r="UVP12" s="313"/>
      <c r="UVQ12" s="313"/>
      <c r="UVR12" s="313"/>
      <c r="UVS12" s="313"/>
      <c r="UVT12" s="313"/>
      <c r="UVU12" s="313"/>
      <c r="UVV12" s="313"/>
      <c r="UVW12" s="95"/>
      <c r="UVX12" s="313"/>
      <c r="UVY12" s="313"/>
      <c r="UVZ12" s="313"/>
      <c r="UWA12" s="313"/>
      <c r="UWB12" s="313"/>
      <c r="UWC12" s="313"/>
      <c r="UWD12" s="313"/>
      <c r="UWE12" s="95"/>
      <c r="UWF12" s="313"/>
      <c r="UWG12" s="313"/>
      <c r="UWH12" s="313"/>
      <c r="UWI12" s="313"/>
      <c r="UWJ12" s="313"/>
      <c r="UWK12" s="313"/>
      <c r="UWL12" s="313"/>
      <c r="UWM12" s="95"/>
      <c r="UWN12" s="313"/>
      <c r="UWO12" s="313"/>
      <c r="UWP12" s="313"/>
      <c r="UWQ12" s="313"/>
      <c r="UWR12" s="313"/>
      <c r="UWS12" s="313"/>
      <c r="UWT12" s="313"/>
      <c r="UWU12" s="95"/>
      <c r="UWV12" s="313"/>
      <c r="UWW12" s="313"/>
      <c r="UWX12" s="313"/>
      <c r="UWY12" s="313"/>
      <c r="UWZ12" s="313"/>
      <c r="UXA12" s="313"/>
      <c r="UXB12" s="313"/>
      <c r="UXC12" s="95"/>
      <c r="UXD12" s="313"/>
      <c r="UXE12" s="313"/>
      <c r="UXF12" s="313"/>
      <c r="UXG12" s="313"/>
      <c r="UXH12" s="313"/>
      <c r="UXI12" s="313"/>
      <c r="UXJ12" s="313"/>
      <c r="UXK12" s="95"/>
      <c r="UXL12" s="313"/>
      <c r="UXM12" s="313"/>
      <c r="UXN12" s="313"/>
      <c r="UXO12" s="313"/>
      <c r="UXP12" s="313"/>
      <c r="UXQ12" s="313"/>
      <c r="UXR12" s="313"/>
      <c r="UXS12" s="95"/>
      <c r="UXT12" s="313"/>
      <c r="UXU12" s="313"/>
      <c r="UXV12" s="313"/>
      <c r="UXW12" s="313"/>
      <c r="UXX12" s="313"/>
      <c r="UXY12" s="313"/>
      <c r="UXZ12" s="313"/>
      <c r="UYA12" s="95"/>
      <c r="UYB12" s="313"/>
      <c r="UYC12" s="313"/>
      <c r="UYD12" s="313"/>
      <c r="UYE12" s="313"/>
      <c r="UYF12" s="313"/>
      <c r="UYG12" s="313"/>
      <c r="UYH12" s="313"/>
      <c r="UYI12" s="95"/>
      <c r="UYJ12" s="313"/>
      <c r="UYK12" s="313"/>
      <c r="UYL12" s="313"/>
      <c r="UYM12" s="313"/>
      <c r="UYN12" s="313"/>
      <c r="UYO12" s="313"/>
      <c r="UYP12" s="313"/>
      <c r="UYQ12" s="95"/>
      <c r="UYR12" s="313"/>
      <c r="UYS12" s="313"/>
      <c r="UYT12" s="313"/>
      <c r="UYU12" s="313"/>
      <c r="UYV12" s="313"/>
      <c r="UYW12" s="313"/>
      <c r="UYX12" s="313"/>
      <c r="UYY12" s="95"/>
      <c r="UYZ12" s="313"/>
      <c r="UZA12" s="313"/>
      <c r="UZB12" s="313"/>
      <c r="UZC12" s="313"/>
      <c r="UZD12" s="313"/>
      <c r="UZE12" s="313"/>
      <c r="UZF12" s="313"/>
      <c r="UZG12" s="95"/>
      <c r="UZH12" s="313"/>
      <c r="UZI12" s="313"/>
      <c r="UZJ12" s="313"/>
      <c r="UZK12" s="313"/>
      <c r="UZL12" s="313"/>
      <c r="UZM12" s="313"/>
      <c r="UZN12" s="313"/>
      <c r="UZO12" s="95"/>
      <c r="UZP12" s="313"/>
      <c r="UZQ12" s="313"/>
      <c r="UZR12" s="313"/>
      <c r="UZS12" s="313"/>
      <c r="UZT12" s="313"/>
      <c r="UZU12" s="313"/>
      <c r="UZV12" s="313"/>
      <c r="UZW12" s="95"/>
      <c r="UZX12" s="313"/>
      <c r="UZY12" s="313"/>
      <c r="UZZ12" s="313"/>
      <c r="VAA12" s="313"/>
      <c r="VAB12" s="313"/>
      <c r="VAC12" s="313"/>
      <c r="VAD12" s="313"/>
      <c r="VAE12" s="95"/>
      <c r="VAF12" s="313"/>
      <c r="VAG12" s="313"/>
      <c r="VAH12" s="313"/>
      <c r="VAI12" s="313"/>
      <c r="VAJ12" s="313"/>
      <c r="VAK12" s="313"/>
      <c r="VAL12" s="313"/>
      <c r="VAM12" s="95"/>
      <c r="VAN12" s="313"/>
      <c r="VAO12" s="313"/>
      <c r="VAP12" s="313"/>
      <c r="VAQ12" s="313"/>
      <c r="VAR12" s="313"/>
      <c r="VAS12" s="313"/>
      <c r="VAT12" s="313"/>
      <c r="VAU12" s="95"/>
      <c r="VAV12" s="313"/>
      <c r="VAW12" s="313"/>
      <c r="VAX12" s="313"/>
      <c r="VAY12" s="313"/>
      <c r="VAZ12" s="313"/>
      <c r="VBA12" s="313"/>
      <c r="VBB12" s="313"/>
      <c r="VBC12" s="95"/>
      <c r="VBD12" s="313"/>
      <c r="VBE12" s="313"/>
      <c r="VBF12" s="313"/>
      <c r="VBG12" s="313"/>
      <c r="VBH12" s="313"/>
      <c r="VBI12" s="313"/>
      <c r="VBJ12" s="313"/>
      <c r="VBK12" s="95"/>
      <c r="VBL12" s="313"/>
      <c r="VBM12" s="313"/>
      <c r="VBN12" s="313"/>
      <c r="VBO12" s="313"/>
      <c r="VBP12" s="313"/>
      <c r="VBQ12" s="313"/>
      <c r="VBR12" s="313"/>
      <c r="VBS12" s="95"/>
      <c r="VBT12" s="313"/>
      <c r="VBU12" s="313"/>
      <c r="VBV12" s="313"/>
      <c r="VBW12" s="313"/>
      <c r="VBX12" s="313"/>
      <c r="VBY12" s="313"/>
      <c r="VBZ12" s="313"/>
      <c r="VCA12" s="95"/>
      <c r="VCB12" s="313"/>
      <c r="VCC12" s="313"/>
      <c r="VCD12" s="313"/>
      <c r="VCE12" s="313"/>
      <c r="VCF12" s="313"/>
      <c r="VCG12" s="313"/>
      <c r="VCH12" s="313"/>
      <c r="VCI12" s="95"/>
      <c r="VCJ12" s="313"/>
      <c r="VCK12" s="313"/>
      <c r="VCL12" s="313"/>
      <c r="VCM12" s="313"/>
      <c r="VCN12" s="313"/>
      <c r="VCO12" s="313"/>
      <c r="VCP12" s="313"/>
      <c r="VCQ12" s="95"/>
      <c r="VCR12" s="313"/>
      <c r="VCS12" s="313"/>
      <c r="VCT12" s="313"/>
      <c r="VCU12" s="313"/>
      <c r="VCV12" s="313"/>
      <c r="VCW12" s="313"/>
      <c r="VCX12" s="313"/>
      <c r="VCY12" s="95"/>
      <c r="VCZ12" s="313"/>
      <c r="VDA12" s="313"/>
      <c r="VDB12" s="313"/>
      <c r="VDC12" s="313"/>
      <c r="VDD12" s="313"/>
      <c r="VDE12" s="313"/>
      <c r="VDF12" s="313"/>
      <c r="VDG12" s="95"/>
      <c r="VDH12" s="313"/>
      <c r="VDI12" s="313"/>
      <c r="VDJ12" s="313"/>
      <c r="VDK12" s="313"/>
      <c r="VDL12" s="313"/>
      <c r="VDM12" s="313"/>
      <c r="VDN12" s="313"/>
      <c r="VDO12" s="95"/>
      <c r="VDP12" s="313"/>
      <c r="VDQ12" s="313"/>
      <c r="VDR12" s="313"/>
      <c r="VDS12" s="313"/>
      <c r="VDT12" s="313"/>
      <c r="VDU12" s="313"/>
      <c r="VDV12" s="313"/>
      <c r="VDW12" s="95"/>
      <c r="VDX12" s="313"/>
      <c r="VDY12" s="313"/>
      <c r="VDZ12" s="313"/>
      <c r="VEA12" s="313"/>
      <c r="VEB12" s="313"/>
      <c r="VEC12" s="313"/>
      <c r="VED12" s="313"/>
      <c r="VEE12" s="95"/>
      <c r="VEF12" s="313"/>
      <c r="VEG12" s="313"/>
      <c r="VEH12" s="313"/>
      <c r="VEI12" s="313"/>
      <c r="VEJ12" s="313"/>
      <c r="VEK12" s="313"/>
      <c r="VEL12" s="313"/>
      <c r="VEM12" s="95"/>
      <c r="VEN12" s="313"/>
      <c r="VEO12" s="313"/>
      <c r="VEP12" s="313"/>
      <c r="VEQ12" s="313"/>
      <c r="VER12" s="313"/>
      <c r="VES12" s="313"/>
      <c r="VET12" s="313"/>
      <c r="VEU12" s="95"/>
      <c r="VEV12" s="313"/>
      <c r="VEW12" s="313"/>
      <c r="VEX12" s="313"/>
      <c r="VEY12" s="313"/>
      <c r="VEZ12" s="313"/>
      <c r="VFA12" s="313"/>
      <c r="VFB12" s="313"/>
      <c r="VFC12" s="95"/>
      <c r="VFD12" s="313"/>
      <c r="VFE12" s="313"/>
      <c r="VFF12" s="313"/>
      <c r="VFG12" s="313"/>
      <c r="VFH12" s="313"/>
      <c r="VFI12" s="313"/>
      <c r="VFJ12" s="313"/>
      <c r="VFK12" s="95"/>
      <c r="VFL12" s="313"/>
      <c r="VFM12" s="313"/>
      <c r="VFN12" s="313"/>
      <c r="VFO12" s="313"/>
      <c r="VFP12" s="313"/>
      <c r="VFQ12" s="313"/>
      <c r="VFR12" s="313"/>
      <c r="VFS12" s="95"/>
      <c r="VFT12" s="313"/>
      <c r="VFU12" s="313"/>
      <c r="VFV12" s="313"/>
      <c r="VFW12" s="313"/>
      <c r="VFX12" s="313"/>
      <c r="VFY12" s="313"/>
      <c r="VFZ12" s="313"/>
      <c r="VGA12" s="95"/>
      <c r="VGB12" s="313"/>
      <c r="VGC12" s="313"/>
      <c r="VGD12" s="313"/>
      <c r="VGE12" s="313"/>
      <c r="VGF12" s="313"/>
      <c r="VGG12" s="313"/>
      <c r="VGH12" s="313"/>
      <c r="VGI12" s="95"/>
      <c r="VGJ12" s="313"/>
      <c r="VGK12" s="313"/>
      <c r="VGL12" s="313"/>
      <c r="VGM12" s="313"/>
      <c r="VGN12" s="313"/>
      <c r="VGO12" s="313"/>
      <c r="VGP12" s="313"/>
      <c r="VGQ12" s="95"/>
      <c r="VGR12" s="313"/>
      <c r="VGS12" s="313"/>
      <c r="VGT12" s="313"/>
      <c r="VGU12" s="313"/>
      <c r="VGV12" s="313"/>
      <c r="VGW12" s="313"/>
      <c r="VGX12" s="313"/>
      <c r="VGY12" s="95"/>
      <c r="VGZ12" s="313"/>
      <c r="VHA12" s="313"/>
      <c r="VHB12" s="313"/>
      <c r="VHC12" s="313"/>
      <c r="VHD12" s="313"/>
      <c r="VHE12" s="313"/>
      <c r="VHF12" s="313"/>
      <c r="VHG12" s="95"/>
      <c r="VHH12" s="313"/>
      <c r="VHI12" s="313"/>
      <c r="VHJ12" s="313"/>
      <c r="VHK12" s="313"/>
      <c r="VHL12" s="313"/>
      <c r="VHM12" s="313"/>
      <c r="VHN12" s="313"/>
      <c r="VHO12" s="95"/>
      <c r="VHP12" s="313"/>
      <c r="VHQ12" s="313"/>
      <c r="VHR12" s="313"/>
      <c r="VHS12" s="313"/>
      <c r="VHT12" s="313"/>
      <c r="VHU12" s="313"/>
      <c r="VHV12" s="313"/>
      <c r="VHW12" s="95"/>
      <c r="VHX12" s="313"/>
      <c r="VHY12" s="313"/>
      <c r="VHZ12" s="313"/>
      <c r="VIA12" s="313"/>
      <c r="VIB12" s="313"/>
      <c r="VIC12" s="313"/>
      <c r="VID12" s="313"/>
      <c r="VIE12" s="95"/>
      <c r="VIF12" s="313"/>
      <c r="VIG12" s="313"/>
      <c r="VIH12" s="313"/>
      <c r="VII12" s="313"/>
      <c r="VIJ12" s="313"/>
      <c r="VIK12" s="313"/>
      <c r="VIL12" s="313"/>
      <c r="VIM12" s="95"/>
      <c r="VIN12" s="313"/>
      <c r="VIO12" s="313"/>
      <c r="VIP12" s="313"/>
      <c r="VIQ12" s="313"/>
      <c r="VIR12" s="313"/>
      <c r="VIS12" s="313"/>
      <c r="VIT12" s="313"/>
      <c r="VIU12" s="95"/>
      <c r="VIV12" s="313"/>
      <c r="VIW12" s="313"/>
      <c r="VIX12" s="313"/>
      <c r="VIY12" s="313"/>
      <c r="VIZ12" s="313"/>
      <c r="VJA12" s="313"/>
      <c r="VJB12" s="313"/>
      <c r="VJC12" s="95"/>
      <c r="VJD12" s="313"/>
      <c r="VJE12" s="313"/>
      <c r="VJF12" s="313"/>
      <c r="VJG12" s="313"/>
      <c r="VJH12" s="313"/>
      <c r="VJI12" s="313"/>
      <c r="VJJ12" s="313"/>
      <c r="VJK12" s="95"/>
      <c r="VJL12" s="313"/>
      <c r="VJM12" s="313"/>
      <c r="VJN12" s="313"/>
      <c r="VJO12" s="313"/>
      <c r="VJP12" s="313"/>
      <c r="VJQ12" s="313"/>
      <c r="VJR12" s="313"/>
      <c r="VJS12" s="95"/>
      <c r="VJT12" s="313"/>
      <c r="VJU12" s="313"/>
      <c r="VJV12" s="313"/>
      <c r="VJW12" s="313"/>
      <c r="VJX12" s="313"/>
      <c r="VJY12" s="313"/>
      <c r="VJZ12" s="313"/>
      <c r="VKA12" s="95"/>
      <c r="VKB12" s="313"/>
      <c r="VKC12" s="313"/>
      <c r="VKD12" s="313"/>
      <c r="VKE12" s="313"/>
      <c r="VKF12" s="313"/>
      <c r="VKG12" s="313"/>
      <c r="VKH12" s="313"/>
      <c r="VKI12" s="95"/>
      <c r="VKJ12" s="313"/>
      <c r="VKK12" s="313"/>
      <c r="VKL12" s="313"/>
      <c r="VKM12" s="313"/>
      <c r="VKN12" s="313"/>
      <c r="VKO12" s="313"/>
      <c r="VKP12" s="313"/>
      <c r="VKQ12" s="95"/>
      <c r="VKR12" s="313"/>
      <c r="VKS12" s="313"/>
      <c r="VKT12" s="313"/>
      <c r="VKU12" s="313"/>
      <c r="VKV12" s="313"/>
      <c r="VKW12" s="313"/>
      <c r="VKX12" s="313"/>
      <c r="VKY12" s="95"/>
      <c r="VKZ12" s="313"/>
      <c r="VLA12" s="313"/>
      <c r="VLB12" s="313"/>
      <c r="VLC12" s="313"/>
      <c r="VLD12" s="313"/>
      <c r="VLE12" s="313"/>
      <c r="VLF12" s="313"/>
      <c r="VLG12" s="95"/>
      <c r="VLH12" s="313"/>
      <c r="VLI12" s="313"/>
      <c r="VLJ12" s="313"/>
      <c r="VLK12" s="313"/>
      <c r="VLL12" s="313"/>
      <c r="VLM12" s="313"/>
      <c r="VLN12" s="313"/>
      <c r="VLO12" s="95"/>
      <c r="VLP12" s="313"/>
      <c r="VLQ12" s="313"/>
      <c r="VLR12" s="313"/>
      <c r="VLS12" s="313"/>
      <c r="VLT12" s="313"/>
      <c r="VLU12" s="313"/>
      <c r="VLV12" s="313"/>
      <c r="VLW12" s="95"/>
      <c r="VLX12" s="313"/>
      <c r="VLY12" s="313"/>
      <c r="VLZ12" s="313"/>
      <c r="VMA12" s="313"/>
      <c r="VMB12" s="313"/>
      <c r="VMC12" s="313"/>
      <c r="VMD12" s="313"/>
      <c r="VME12" s="95"/>
      <c r="VMF12" s="313"/>
      <c r="VMG12" s="313"/>
      <c r="VMH12" s="313"/>
      <c r="VMI12" s="313"/>
      <c r="VMJ12" s="313"/>
      <c r="VMK12" s="313"/>
      <c r="VML12" s="313"/>
      <c r="VMM12" s="95"/>
      <c r="VMN12" s="313"/>
      <c r="VMO12" s="313"/>
      <c r="VMP12" s="313"/>
      <c r="VMQ12" s="313"/>
      <c r="VMR12" s="313"/>
      <c r="VMS12" s="313"/>
      <c r="VMT12" s="313"/>
      <c r="VMU12" s="95"/>
      <c r="VMV12" s="313"/>
      <c r="VMW12" s="313"/>
      <c r="VMX12" s="313"/>
      <c r="VMY12" s="313"/>
      <c r="VMZ12" s="313"/>
      <c r="VNA12" s="313"/>
      <c r="VNB12" s="313"/>
      <c r="VNC12" s="95"/>
      <c r="VND12" s="313"/>
      <c r="VNE12" s="313"/>
      <c r="VNF12" s="313"/>
      <c r="VNG12" s="313"/>
      <c r="VNH12" s="313"/>
      <c r="VNI12" s="313"/>
      <c r="VNJ12" s="313"/>
      <c r="VNK12" s="95"/>
      <c r="VNL12" s="313"/>
      <c r="VNM12" s="313"/>
      <c r="VNN12" s="313"/>
      <c r="VNO12" s="313"/>
      <c r="VNP12" s="313"/>
      <c r="VNQ12" s="313"/>
      <c r="VNR12" s="313"/>
      <c r="VNS12" s="95"/>
      <c r="VNT12" s="313"/>
      <c r="VNU12" s="313"/>
      <c r="VNV12" s="313"/>
      <c r="VNW12" s="313"/>
      <c r="VNX12" s="313"/>
      <c r="VNY12" s="313"/>
      <c r="VNZ12" s="313"/>
      <c r="VOA12" s="95"/>
      <c r="VOB12" s="313"/>
      <c r="VOC12" s="313"/>
      <c r="VOD12" s="313"/>
      <c r="VOE12" s="313"/>
      <c r="VOF12" s="313"/>
      <c r="VOG12" s="313"/>
      <c r="VOH12" s="313"/>
      <c r="VOI12" s="95"/>
      <c r="VOJ12" s="313"/>
      <c r="VOK12" s="313"/>
      <c r="VOL12" s="313"/>
      <c r="VOM12" s="313"/>
      <c r="VON12" s="313"/>
      <c r="VOO12" s="313"/>
      <c r="VOP12" s="313"/>
      <c r="VOQ12" s="95"/>
      <c r="VOR12" s="313"/>
      <c r="VOS12" s="313"/>
      <c r="VOT12" s="313"/>
      <c r="VOU12" s="313"/>
      <c r="VOV12" s="313"/>
      <c r="VOW12" s="313"/>
      <c r="VOX12" s="313"/>
      <c r="VOY12" s="95"/>
      <c r="VOZ12" s="313"/>
      <c r="VPA12" s="313"/>
      <c r="VPB12" s="313"/>
      <c r="VPC12" s="313"/>
      <c r="VPD12" s="313"/>
      <c r="VPE12" s="313"/>
      <c r="VPF12" s="313"/>
      <c r="VPG12" s="95"/>
      <c r="VPH12" s="313"/>
      <c r="VPI12" s="313"/>
      <c r="VPJ12" s="313"/>
      <c r="VPK12" s="313"/>
      <c r="VPL12" s="313"/>
      <c r="VPM12" s="313"/>
      <c r="VPN12" s="313"/>
      <c r="VPO12" s="95"/>
      <c r="VPP12" s="313"/>
      <c r="VPQ12" s="313"/>
      <c r="VPR12" s="313"/>
      <c r="VPS12" s="313"/>
      <c r="VPT12" s="313"/>
      <c r="VPU12" s="313"/>
      <c r="VPV12" s="313"/>
      <c r="VPW12" s="95"/>
      <c r="VPX12" s="313"/>
      <c r="VPY12" s="313"/>
      <c r="VPZ12" s="313"/>
      <c r="VQA12" s="313"/>
      <c r="VQB12" s="313"/>
      <c r="VQC12" s="313"/>
      <c r="VQD12" s="313"/>
      <c r="VQE12" s="95"/>
      <c r="VQF12" s="313"/>
      <c r="VQG12" s="313"/>
      <c r="VQH12" s="313"/>
      <c r="VQI12" s="313"/>
      <c r="VQJ12" s="313"/>
      <c r="VQK12" s="313"/>
      <c r="VQL12" s="313"/>
      <c r="VQM12" s="95"/>
      <c r="VQN12" s="313"/>
      <c r="VQO12" s="313"/>
      <c r="VQP12" s="313"/>
      <c r="VQQ12" s="313"/>
      <c r="VQR12" s="313"/>
      <c r="VQS12" s="313"/>
      <c r="VQT12" s="313"/>
      <c r="VQU12" s="95"/>
      <c r="VQV12" s="313"/>
      <c r="VQW12" s="313"/>
      <c r="VQX12" s="313"/>
      <c r="VQY12" s="313"/>
      <c r="VQZ12" s="313"/>
      <c r="VRA12" s="313"/>
      <c r="VRB12" s="313"/>
      <c r="VRC12" s="95"/>
      <c r="VRD12" s="313"/>
      <c r="VRE12" s="313"/>
      <c r="VRF12" s="313"/>
      <c r="VRG12" s="313"/>
      <c r="VRH12" s="313"/>
      <c r="VRI12" s="313"/>
      <c r="VRJ12" s="313"/>
      <c r="VRK12" s="95"/>
      <c r="VRL12" s="313"/>
      <c r="VRM12" s="313"/>
      <c r="VRN12" s="313"/>
      <c r="VRO12" s="313"/>
      <c r="VRP12" s="313"/>
      <c r="VRQ12" s="313"/>
      <c r="VRR12" s="313"/>
      <c r="VRS12" s="95"/>
      <c r="VRT12" s="313"/>
      <c r="VRU12" s="313"/>
      <c r="VRV12" s="313"/>
      <c r="VRW12" s="313"/>
      <c r="VRX12" s="313"/>
      <c r="VRY12" s="313"/>
      <c r="VRZ12" s="313"/>
      <c r="VSA12" s="95"/>
      <c r="VSB12" s="313"/>
      <c r="VSC12" s="313"/>
      <c r="VSD12" s="313"/>
      <c r="VSE12" s="313"/>
      <c r="VSF12" s="313"/>
      <c r="VSG12" s="313"/>
      <c r="VSH12" s="313"/>
      <c r="VSI12" s="95"/>
      <c r="VSJ12" s="313"/>
      <c r="VSK12" s="313"/>
      <c r="VSL12" s="313"/>
      <c r="VSM12" s="313"/>
      <c r="VSN12" s="313"/>
      <c r="VSO12" s="313"/>
      <c r="VSP12" s="313"/>
      <c r="VSQ12" s="95"/>
      <c r="VSR12" s="313"/>
      <c r="VSS12" s="313"/>
      <c r="VST12" s="313"/>
      <c r="VSU12" s="313"/>
      <c r="VSV12" s="313"/>
      <c r="VSW12" s="313"/>
      <c r="VSX12" s="313"/>
      <c r="VSY12" s="95"/>
      <c r="VSZ12" s="313"/>
      <c r="VTA12" s="313"/>
      <c r="VTB12" s="313"/>
      <c r="VTC12" s="313"/>
      <c r="VTD12" s="313"/>
      <c r="VTE12" s="313"/>
      <c r="VTF12" s="313"/>
      <c r="VTG12" s="95"/>
      <c r="VTH12" s="313"/>
      <c r="VTI12" s="313"/>
      <c r="VTJ12" s="313"/>
      <c r="VTK12" s="313"/>
      <c r="VTL12" s="313"/>
      <c r="VTM12" s="313"/>
      <c r="VTN12" s="313"/>
      <c r="VTO12" s="95"/>
      <c r="VTP12" s="313"/>
      <c r="VTQ12" s="313"/>
      <c r="VTR12" s="313"/>
      <c r="VTS12" s="313"/>
      <c r="VTT12" s="313"/>
      <c r="VTU12" s="313"/>
      <c r="VTV12" s="313"/>
      <c r="VTW12" s="95"/>
      <c r="VTX12" s="313"/>
      <c r="VTY12" s="313"/>
      <c r="VTZ12" s="313"/>
      <c r="VUA12" s="313"/>
      <c r="VUB12" s="313"/>
      <c r="VUC12" s="313"/>
      <c r="VUD12" s="313"/>
      <c r="VUE12" s="95"/>
      <c r="VUF12" s="313"/>
      <c r="VUG12" s="313"/>
      <c r="VUH12" s="313"/>
      <c r="VUI12" s="313"/>
      <c r="VUJ12" s="313"/>
      <c r="VUK12" s="313"/>
      <c r="VUL12" s="313"/>
      <c r="VUM12" s="95"/>
      <c r="VUN12" s="313"/>
      <c r="VUO12" s="313"/>
      <c r="VUP12" s="313"/>
      <c r="VUQ12" s="313"/>
      <c r="VUR12" s="313"/>
      <c r="VUS12" s="313"/>
      <c r="VUT12" s="313"/>
      <c r="VUU12" s="95"/>
      <c r="VUV12" s="313"/>
      <c r="VUW12" s="313"/>
      <c r="VUX12" s="313"/>
      <c r="VUY12" s="313"/>
      <c r="VUZ12" s="313"/>
      <c r="VVA12" s="313"/>
      <c r="VVB12" s="313"/>
      <c r="VVC12" s="95"/>
      <c r="VVD12" s="313"/>
      <c r="VVE12" s="313"/>
      <c r="VVF12" s="313"/>
      <c r="VVG12" s="313"/>
      <c r="VVH12" s="313"/>
      <c r="VVI12" s="313"/>
      <c r="VVJ12" s="313"/>
      <c r="VVK12" s="95"/>
      <c r="VVL12" s="313"/>
      <c r="VVM12" s="313"/>
      <c r="VVN12" s="313"/>
      <c r="VVO12" s="313"/>
      <c r="VVP12" s="313"/>
      <c r="VVQ12" s="313"/>
      <c r="VVR12" s="313"/>
      <c r="VVS12" s="95"/>
      <c r="VVT12" s="313"/>
      <c r="VVU12" s="313"/>
      <c r="VVV12" s="313"/>
      <c r="VVW12" s="313"/>
      <c r="VVX12" s="313"/>
      <c r="VVY12" s="313"/>
      <c r="VVZ12" s="313"/>
      <c r="VWA12" s="95"/>
      <c r="VWB12" s="313"/>
      <c r="VWC12" s="313"/>
      <c r="VWD12" s="313"/>
      <c r="VWE12" s="313"/>
      <c r="VWF12" s="313"/>
      <c r="VWG12" s="313"/>
      <c r="VWH12" s="313"/>
      <c r="VWI12" s="95"/>
      <c r="VWJ12" s="313"/>
      <c r="VWK12" s="313"/>
      <c r="VWL12" s="313"/>
      <c r="VWM12" s="313"/>
      <c r="VWN12" s="313"/>
      <c r="VWO12" s="313"/>
      <c r="VWP12" s="313"/>
      <c r="VWQ12" s="95"/>
      <c r="VWR12" s="313"/>
      <c r="VWS12" s="313"/>
      <c r="VWT12" s="313"/>
      <c r="VWU12" s="313"/>
      <c r="VWV12" s="313"/>
      <c r="VWW12" s="313"/>
      <c r="VWX12" s="313"/>
      <c r="VWY12" s="95"/>
      <c r="VWZ12" s="313"/>
      <c r="VXA12" s="313"/>
      <c r="VXB12" s="313"/>
      <c r="VXC12" s="313"/>
      <c r="VXD12" s="313"/>
      <c r="VXE12" s="313"/>
      <c r="VXF12" s="313"/>
      <c r="VXG12" s="95"/>
      <c r="VXH12" s="313"/>
      <c r="VXI12" s="313"/>
      <c r="VXJ12" s="313"/>
      <c r="VXK12" s="313"/>
      <c r="VXL12" s="313"/>
      <c r="VXM12" s="313"/>
      <c r="VXN12" s="313"/>
      <c r="VXO12" s="95"/>
      <c r="VXP12" s="313"/>
      <c r="VXQ12" s="313"/>
      <c r="VXR12" s="313"/>
      <c r="VXS12" s="313"/>
      <c r="VXT12" s="313"/>
      <c r="VXU12" s="313"/>
      <c r="VXV12" s="313"/>
      <c r="VXW12" s="95"/>
      <c r="VXX12" s="313"/>
      <c r="VXY12" s="313"/>
      <c r="VXZ12" s="313"/>
      <c r="VYA12" s="313"/>
      <c r="VYB12" s="313"/>
      <c r="VYC12" s="313"/>
      <c r="VYD12" s="313"/>
      <c r="VYE12" s="95"/>
      <c r="VYF12" s="313"/>
      <c r="VYG12" s="313"/>
      <c r="VYH12" s="313"/>
      <c r="VYI12" s="313"/>
      <c r="VYJ12" s="313"/>
      <c r="VYK12" s="313"/>
      <c r="VYL12" s="313"/>
      <c r="VYM12" s="95"/>
      <c r="VYN12" s="313"/>
      <c r="VYO12" s="313"/>
      <c r="VYP12" s="313"/>
      <c r="VYQ12" s="313"/>
      <c r="VYR12" s="313"/>
      <c r="VYS12" s="313"/>
      <c r="VYT12" s="313"/>
      <c r="VYU12" s="95"/>
      <c r="VYV12" s="313"/>
      <c r="VYW12" s="313"/>
      <c r="VYX12" s="313"/>
      <c r="VYY12" s="313"/>
      <c r="VYZ12" s="313"/>
      <c r="VZA12" s="313"/>
      <c r="VZB12" s="313"/>
      <c r="VZC12" s="95"/>
      <c r="VZD12" s="313"/>
      <c r="VZE12" s="313"/>
      <c r="VZF12" s="313"/>
      <c r="VZG12" s="313"/>
      <c r="VZH12" s="313"/>
      <c r="VZI12" s="313"/>
      <c r="VZJ12" s="313"/>
      <c r="VZK12" s="95"/>
      <c r="VZL12" s="313"/>
      <c r="VZM12" s="313"/>
      <c r="VZN12" s="313"/>
      <c r="VZO12" s="313"/>
      <c r="VZP12" s="313"/>
      <c r="VZQ12" s="313"/>
      <c r="VZR12" s="313"/>
      <c r="VZS12" s="95"/>
      <c r="VZT12" s="313"/>
      <c r="VZU12" s="313"/>
      <c r="VZV12" s="313"/>
      <c r="VZW12" s="313"/>
      <c r="VZX12" s="313"/>
      <c r="VZY12" s="313"/>
      <c r="VZZ12" s="313"/>
      <c r="WAA12" s="95"/>
      <c r="WAB12" s="313"/>
      <c r="WAC12" s="313"/>
      <c r="WAD12" s="313"/>
      <c r="WAE12" s="313"/>
      <c r="WAF12" s="313"/>
      <c r="WAG12" s="313"/>
      <c r="WAH12" s="313"/>
      <c r="WAI12" s="95"/>
      <c r="WAJ12" s="313"/>
      <c r="WAK12" s="313"/>
      <c r="WAL12" s="313"/>
      <c r="WAM12" s="313"/>
      <c r="WAN12" s="313"/>
      <c r="WAO12" s="313"/>
      <c r="WAP12" s="313"/>
      <c r="WAQ12" s="95"/>
      <c r="WAR12" s="313"/>
      <c r="WAS12" s="313"/>
      <c r="WAT12" s="313"/>
      <c r="WAU12" s="313"/>
      <c r="WAV12" s="313"/>
      <c r="WAW12" s="313"/>
      <c r="WAX12" s="313"/>
      <c r="WAY12" s="95"/>
      <c r="WAZ12" s="313"/>
      <c r="WBA12" s="313"/>
      <c r="WBB12" s="313"/>
      <c r="WBC12" s="313"/>
      <c r="WBD12" s="313"/>
      <c r="WBE12" s="313"/>
      <c r="WBF12" s="313"/>
      <c r="WBG12" s="95"/>
      <c r="WBH12" s="313"/>
      <c r="WBI12" s="313"/>
      <c r="WBJ12" s="313"/>
      <c r="WBK12" s="313"/>
      <c r="WBL12" s="313"/>
      <c r="WBM12" s="313"/>
      <c r="WBN12" s="313"/>
      <c r="WBO12" s="95"/>
      <c r="WBP12" s="313"/>
      <c r="WBQ12" s="313"/>
      <c r="WBR12" s="313"/>
      <c r="WBS12" s="313"/>
      <c r="WBT12" s="313"/>
      <c r="WBU12" s="313"/>
      <c r="WBV12" s="313"/>
      <c r="WBW12" s="95"/>
      <c r="WBX12" s="313"/>
      <c r="WBY12" s="313"/>
      <c r="WBZ12" s="313"/>
      <c r="WCA12" s="313"/>
      <c r="WCB12" s="313"/>
      <c r="WCC12" s="313"/>
      <c r="WCD12" s="313"/>
      <c r="WCE12" s="95"/>
      <c r="WCF12" s="313"/>
      <c r="WCG12" s="313"/>
      <c r="WCH12" s="313"/>
      <c r="WCI12" s="313"/>
      <c r="WCJ12" s="313"/>
      <c r="WCK12" s="313"/>
      <c r="WCL12" s="313"/>
      <c r="WCM12" s="95"/>
      <c r="WCN12" s="313"/>
      <c r="WCO12" s="313"/>
      <c r="WCP12" s="313"/>
      <c r="WCQ12" s="313"/>
      <c r="WCR12" s="313"/>
      <c r="WCS12" s="313"/>
      <c r="WCT12" s="313"/>
      <c r="WCU12" s="95"/>
      <c r="WCV12" s="313"/>
      <c r="WCW12" s="313"/>
      <c r="WCX12" s="313"/>
      <c r="WCY12" s="313"/>
      <c r="WCZ12" s="313"/>
      <c r="WDA12" s="313"/>
      <c r="WDB12" s="313"/>
      <c r="WDC12" s="95"/>
      <c r="WDD12" s="313"/>
      <c r="WDE12" s="313"/>
      <c r="WDF12" s="313"/>
      <c r="WDG12" s="313"/>
      <c r="WDH12" s="313"/>
      <c r="WDI12" s="313"/>
      <c r="WDJ12" s="313"/>
      <c r="WDK12" s="95"/>
      <c r="WDL12" s="313"/>
      <c r="WDM12" s="313"/>
      <c r="WDN12" s="313"/>
      <c r="WDO12" s="313"/>
      <c r="WDP12" s="313"/>
      <c r="WDQ12" s="313"/>
      <c r="WDR12" s="313"/>
      <c r="WDS12" s="95"/>
      <c r="WDT12" s="313"/>
      <c r="WDU12" s="313"/>
      <c r="WDV12" s="313"/>
      <c r="WDW12" s="313"/>
      <c r="WDX12" s="313"/>
      <c r="WDY12" s="313"/>
      <c r="WDZ12" s="313"/>
      <c r="WEA12" s="95"/>
      <c r="WEB12" s="313"/>
      <c r="WEC12" s="313"/>
      <c r="WED12" s="313"/>
      <c r="WEE12" s="313"/>
      <c r="WEF12" s="313"/>
      <c r="WEG12" s="313"/>
      <c r="WEH12" s="313"/>
      <c r="WEI12" s="95"/>
      <c r="WEJ12" s="313"/>
      <c r="WEK12" s="313"/>
      <c r="WEL12" s="313"/>
      <c r="WEM12" s="313"/>
      <c r="WEN12" s="313"/>
      <c r="WEO12" s="313"/>
      <c r="WEP12" s="313"/>
      <c r="WEQ12" s="95"/>
      <c r="WER12" s="313"/>
      <c r="WES12" s="313"/>
      <c r="WET12" s="313"/>
      <c r="WEU12" s="313"/>
      <c r="WEV12" s="313"/>
      <c r="WEW12" s="313"/>
      <c r="WEX12" s="313"/>
      <c r="WEY12" s="95"/>
      <c r="WEZ12" s="313"/>
      <c r="WFA12" s="313"/>
      <c r="WFB12" s="313"/>
      <c r="WFC12" s="313"/>
      <c r="WFD12" s="313"/>
      <c r="WFE12" s="313"/>
      <c r="WFF12" s="313"/>
      <c r="WFG12" s="95"/>
      <c r="WFH12" s="313"/>
      <c r="WFI12" s="313"/>
      <c r="WFJ12" s="313"/>
      <c r="WFK12" s="313"/>
      <c r="WFL12" s="313"/>
      <c r="WFM12" s="313"/>
      <c r="WFN12" s="313"/>
      <c r="WFO12" s="95"/>
      <c r="WFP12" s="313"/>
      <c r="WFQ12" s="313"/>
      <c r="WFR12" s="313"/>
      <c r="WFS12" s="313"/>
      <c r="WFT12" s="313"/>
      <c r="WFU12" s="313"/>
      <c r="WFV12" s="313"/>
      <c r="WFW12" s="95"/>
      <c r="WFX12" s="313"/>
      <c r="WFY12" s="313"/>
      <c r="WFZ12" s="313"/>
      <c r="WGA12" s="313"/>
      <c r="WGB12" s="313"/>
      <c r="WGC12" s="313"/>
      <c r="WGD12" s="313"/>
      <c r="WGE12" s="95"/>
      <c r="WGF12" s="313"/>
      <c r="WGG12" s="313"/>
      <c r="WGH12" s="313"/>
      <c r="WGI12" s="313"/>
      <c r="WGJ12" s="313"/>
      <c r="WGK12" s="313"/>
      <c r="WGL12" s="313"/>
      <c r="WGM12" s="95"/>
      <c r="WGN12" s="313"/>
      <c r="WGO12" s="313"/>
      <c r="WGP12" s="313"/>
      <c r="WGQ12" s="313"/>
      <c r="WGR12" s="313"/>
      <c r="WGS12" s="313"/>
      <c r="WGT12" s="313"/>
      <c r="WGU12" s="95"/>
      <c r="WGV12" s="313"/>
      <c r="WGW12" s="313"/>
      <c r="WGX12" s="313"/>
      <c r="WGY12" s="313"/>
      <c r="WGZ12" s="313"/>
      <c r="WHA12" s="313"/>
      <c r="WHB12" s="313"/>
      <c r="WHC12" s="95"/>
      <c r="WHD12" s="313"/>
      <c r="WHE12" s="313"/>
      <c r="WHF12" s="313"/>
      <c r="WHG12" s="313"/>
      <c r="WHH12" s="313"/>
      <c r="WHI12" s="313"/>
      <c r="WHJ12" s="313"/>
      <c r="WHK12" s="95"/>
      <c r="WHL12" s="313"/>
      <c r="WHM12" s="313"/>
      <c r="WHN12" s="313"/>
      <c r="WHO12" s="313"/>
      <c r="WHP12" s="313"/>
      <c r="WHQ12" s="313"/>
      <c r="WHR12" s="313"/>
      <c r="WHS12" s="95"/>
      <c r="WHT12" s="313"/>
      <c r="WHU12" s="313"/>
      <c r="WHV12" s="313"/>
      <c r="WHW12" s="313"/>
      <c r="WHX12" s="313"/>
      <c r="WHY12" s="313"/>
      <c r="WHZ12" s="313"/>
      <c r="WIA12" s="95"/>
      <c r="WIB12" s="313"/>
      <c r="WIC12" s="313"/>
      <c r="WID12" s="313"/>
      <c r="WIE12" s="313"/>
      <c r="WIF12" s="313"/>
      <c r="WIG12" s="313"/>
      <c r="WIH12" s="313"/>
      <c r="WII12" s="95"/>
      <c r="WIJ12" s="313"/>
      <c r="WIK12" s="313"/>
      <c r="WIL12" s="313"/>
      <c r="WIM12" s="313"/>
      <c r="WIN12" s="313"/>
      <c r="WIO12" s="313"/>
      <c r="WIP12" s="313"/>
      <c r="WIQ12" s="95"/>
      <c r="WIR12" s="313"/>
      <c r="WIS12" s="313"/>
      <c r="WIT12" s="313"/>
      <c r="WIU12" s="313"/>
      <c r="WIV12" s="313"/>
      <c r="WIW12" s="313"/>
      <c r="WIX12" s="313"/>
      <c r="WIY12" s="95"/>
      <c r="WIZ12" s="313"/>
      <c r="WJA12" s="313"/>
      <c r="WJB12" s="313"/>
      <c r="WJC12" s="313"/>
      <c r="WJD12" s="313"/>
      <c r="WJE12" s="313"/>
      <c r="WJF12" s="313"/>
      <c r="WJG12" s="95"/>
      <c r="WJH12" s="313"/>
      <c r="WJI12" s="313"/>
      <c r="WJJ12" s="313"/>
      <c r="WJK12" s="313"/>
      <c r="WJL12" s="313"/>
      <c r="WJM12" s="313"/>
      <c r="WJN12" s="313"/>
      <c r="WJO12" s="95"/>
      <c r="WJP12" s="313"/>
      <c r="WJQ12" s="313"/>
      <c r="WJR12" s="313"/>
      <c r="WJS12" s="313"/>
      <c r="WJT12" s="313"/>
      <c r="WJU12" s="313"/>
      <c r="WJV12" s="313"/>
      <c r="WJW12" s="95"/>
      <c r="WJX12" s="313"/>
      <c r="WJY12" s="313"/>
      <c r="WJZ12" s="313"/>
      <c r="WKA12" s="313"/>
      <c r="WKB12" s="313"/>
      <c r="WKC12" s="313"/>
      <c r="WKD12" s="313"/>
      <c r="WKE12" s="95"/>
      <c r="WKF12" s="313"/>
      <c r="WKG12" s="313"/>
      <c r="WKH12" s="313"/>
      <c r="WKI12" s="313"/>
      <c r="WKJ12" s="313"/>
      <c r="WKK12" s="313"/>
      <c r="WKL12" s="313"/>
      <c r="WKM12" s="95"/>
      <c r="WKN12" s="313"/>
      <c r="WKO12" s="313"/>
      <c r="WKP12" s="313"/>
      <c r="WKQ12" s="313"/>
      <c r="WKR12" s="313"/>
      <c r="WKS12" s="313"/>
      <c r="WKT12" s="313"/>
      <c r="WKU12" s="95"/>
      <c r="WKV12" s="313"/>
      <c r="WKW12" s="313"/>
      <c r="WKX12" s="313"/>
      <c r="WKY12" s="313"/>
      <c r="WKZ12" s="313"/>
      <c r="WLA12" s="313"/>
      <c r="WLB12" s="313"/>
      <c r="WLC12" s="95"/>
      <c r="WLD12" s="313"/>
      <c r="WLE12" s="313"/>
      <c r="WLF12" s="313"/>
      <c r="WLG12" s="313"/>
      <c r="WLH12" s="313"/>
      <c r="WLI12" s="313"/>
      <c r="WLJ12" s="313"/>
      <c r="WLK12" s="95"/>
      <c r="WLL12" s="313"/>
      <c r="WLM12" s="313"/>
      <c r="WLN12" s="313"/>
      <c r="WLO12" s="313"/>
      <c r="WLP12" s="313"/>
      <c r="WLQ12" s="313"/>
      <c r="WLR12" s="313"/>
      <c r="WLS12" s="95"/>
      <c r="WLT12" s="313"/>
      <c r="WLU12" s="313"/>
      <c r="WLV12" s="313"/>
      <c r="WLW12" s="313"/>
      <c r="WLX12" s="313"/>
      <c r="WLY12" s="313"/>
      <c r="WLZ12" s="313"/>
      <c r="WMA12" s="95"/>
      <c r="WMB12" s="313"/>
      <c r="WMC12" s="313"/>
      <c r="WMD12" s="313"/>
      <c r="WME12" s="313"/>
      <c r="WMF12" s="313"/>
      <c r="WMG12" s="313"/>
      <c r="WMH12" s="313"/>
      <c r="WMI12" s="95"/>
      <c r="WMJ12" s="313"/>
      <c r="WMK12" s="313"/>
      <c r="WML12" s="313"/>
      <c r="WMM12" s="313"/>
      <c r="WMN12" s="313"/>
      <c r="WMO12" s="313"/>
      <c r="WMP12" s="313"/>
      <c r="WMQ12" s="95"/>
      <c r="WMR12" s="313"/>
      <c r="WMS12" s="313"/>
      <c r="WMT12" s="313"/>
      <c r="WMU12" s="313"/>
      <c r="WMV12" s="313"/>
      <c r="WMW12" s="313"/>
      <c r="WMX12" s="313"/>
      <c r="WMY12" s="95"/>
      <c r="WMZ12" s="313"/>
      <c r="WNA12" s="313"/>
      <c r="WNB12" s="313"/>
      <c r="WNC12" s="313"/>
      <c r="WND12" s="313"/>
      <c r="WNE12" s="313"/>
      <c r="WNF12" s="313"/>
      <c r="WNG12" s="95"/>
      <c r="WNH12" s="313"/>
      <c r="WNI12" s="313"/>
      <c r="WNJ12" s="313"/>
      <c r="WNK12" s="313"/>
      <c r="WNL12" s="313"/>
      <c r="WNM12" s="313"/>
      <c r="WNN12" s="313"/>
      <c r="WNO12" s="95"/>
      <c r="WNP12" s="313"/>
      <c r="WNQ12" s="313"/>
      <c r="WNR12" s="313"/>
      <c r="WNS12" s="313"/>
      <c r="WNT12" s="313"/>
      <c r="WNU12" s="313"/>
      <c r="WNV12" s="313"/>
      <c r="WNW12" s="95"/>
      <c r="WNX12" s="313"/>
      <c r="WNY12" s="313"/>
      <c r="WNZ12" s="313"/>
      <c r="WOA12" s="313"/>
      <c r="WOB12" s="313"/>
      <c r="WOC12" s="313"/>
      <c r="WOD12" s="313"/>
      <c r="WOE12" s="95"/>
      <c r="WOF12" s="313"/>
      <c r="WOG12" s="313"/>
      <c r="WOH12" s="313"/>
      <c r="WOI12" s="313"/>
      <c r="WOJ12" s="313"/>
      <c r="WOK12" s="313"/>
      <c r="WOL12" s="313"/>
      <c r="WOM12" s="95"/>
      <c r="WON12" s="313"/>
      <c r="WOO12" s="313"/>
      <c r="WOP12" s="313"/>
      <c r="WOQ12" s="313"/>
      <c r="WOR12" s="313"/>
      <c r="WOS12" s="313"/>
      <c r="WOT12" s="313"/>
      <c r="WOU12" s="95"/>
      <c r="WOV12" s="313"/>
      <c r="WOW12" s="313"/>
      <c r="WOX12" s="313"/>
      <c r="WOY12" s="313"/>
      <c r="WOZ12" s="313"/>
      <c r="WPA12" s="313"/>
      <c r="WPB12" s="313"/>
      <c r="WPC12" s="95"/>
      <c r="WPD12" s="313"/>
      <c r="WPE12" s="313"/>
      <c r="WPF12" s="313"/>
      <c r="WPG12" s="313"/>
      <c r="WPH12" s="313"/>
      <c r="WPI12" s="313"/>
      <c r="WPJ12" s="313"/>
      <c r="WPK12" s="95"/>
      <c r="WPL12" s="313"/>
      <c r="WPM12" s="313"/>
      <c r="WPN12" s="313"/>
      <c r="WPO12" s="313"/>
      <c r="WPP12" s="313"/>
      <c r="WPQ12" s="313"/>
      <c r="WPR12" s="313"/>
      <c r="WPS12" s="95"/>
      <c r="WPT12" s="313"/>
      <c r="WPU12" s="313"/>
      <c r="WPV12" s="313"/>
      <c r="WPW12" s="313"/>
      <c r="WPX12" s="313"/>
      <c r="WPY12" s="313"/>
      <c r="WPZ12" s="313"/>
      <c r="WQA12" s="95"/>
      <c r="WQB12" s="313"/>
      <c r="WQC12" s="313"/>
      <c r="WQD12" s="313"/>
      <c r="WQE12" s="313"/>
      <c r="WQF12" s="313"/>
      <c r="WQG12" s="313"/>
      <c r="WQH12" s="313"/>
      <c r="WQI12" s="95"/>
      <c r="WQJ12" s="313"/>
      <c r="WQK12" s="313"/>
      <c r="WQL12" s="313"/>
      <c r="WQM12" s="313"/>
      <c r="WQN12" s="313"/>
      <c r="WQO12" s="313"/>
      <c r="WQP12" s="313"/>
      <c r="WQQ12" s="95"/>
      <c r="WQR12" s="313"/>
      <c r="WQS12" s="313"/>
      <c r="WQT12" s="313"/>
      <c r="WQU12" s="313"/>
      <c r="WQV12" s="313"/>
      <c r="WQW12" s="313"/>
      <c r="WQX12" s="313"/>
      <c r="WQY12" s="95"/>
      <c r="WQZ12" s="313"/>
      <c r="WRA12" s="313"/>
      <c r="WRB12" s="313"/>
      <c r="WRC12" s="313"/>
      <c r="WRD12" s="313"/>
      <c r="WRE12" s="313"/>
      <c r="WRF12" s="313"/>
      <c r="WRG12" s="95"/>
      <c r="WRH12" s="313"/>
      <c r="WRI12" s="313"/>
      <c r="WRJ12" s="313"/>
      <c r="WRK12" s="313"/>
      <c r="WRL12" s="313"/>
      <c r="WRM12" s="313"/>
      <c r="WRN12" s="313"/>
      <c r="WRO12" s="95"/>
      <c r="WRP12" s="313"/>
      <c r="WRQ12" s="313"/>
      <c r="WRR12" s="313"/>
      <c r="WRS12" s="313"/>
      <c r="WRT12" s="313"/>
      <c r="WRU12" s="313"/>
      <c r="WRV12" s="313"/>
      <c r="WRW12" s="95"/>
      <c r="WRX12" s="313"/>
      <c r="WRY12" s="313"/>
      <c r="WRZ12" s="313"/>
      <c r="WSA12" s="313"/>
      <c r="WSB12" s="313"/>
      <c r="WSC12" s="313"/>
      <c r="WSD12" s="313"/>
      <c r="WSE12" s="95"/>
      <c r="WSF12" s="313"/>
      <c r="WSG12" s="313"/>
      <c r="WSH12" s="313"/>
      <c r="WSI12" s="313"/>
      <c r="WSJ12" s="313"/>
      <c r="WSK12" s="313"/>
      <c r="WSL12" s="313"/>
      <c r="WSM12" s="95"/>
      <c r="WSN12" s="313"/>
      <c r="WSO12" s="313"/>
      <c r="WSP12" s="313"/>
      <c r="WSQ12" s="313"/>
      <c r="WSR12" s="313"/>
      <c r="WSS12" s="313"/>
      <c r="WST12" s="313"/>
      <c r="WSU12" s="95"/>
      <c r="WSV12" s="313"/>
      <c r="WSW12" s="313"/>
      <c r="WSX12" s="313"/>
      <c r="WSY12" s="313"/>
      <c r="WSZ12" s="313"/>
      <c r="WTA12" s="313"/>
      <c r="WTB12" s="313"/>
      <c r="WTC12" s="95"/>
      <c r="WTD12" s="313"/>
      <c r="WTE12" s="313"/>
      <c r="WTF12" s="313"/>
      <c r="WTG12" s="313"/>
      <c r="WTH12" s="313"/>
      <c r="WTI12" s="313"/>
      <c r="WTJ12" s="313"/>
      <c r="WTK12" s="95"/>
      <c r="WTL12" s="313"/>
      <c r="WTM12" s="313"/>
      <c r="WTN12" s="313"/>
      <c r="WTO12" s="313"/>
      <c r="WTP12" s="313"/>
      <c r="WTQ12" s="313"/>
      <c r="WTR12" s="313"/>
      <c r="WTS12" s="95"/>
      <c r="WTT12" s="313"/>
      <c r="WTU12" s="313"/>
      <c r="WTV12" s="313"/>
      <c r="WTW12" s="313"/>
      <c r="WTX12" s="313"/>
      <c r="WTY12" s="313"/>
      <c r="WTZ12" s="313"/>
      <c r="WUA12" s="95"/>
      <c r="WUB12" s="313"/>
      <c r="WUC12" s="313"/>
      <c r="WUD12" s="313"/>
      <c r="WUE12" s="313"/>
      <c r="WUF12" s="313"/>
      <c r="WUG12" s="313"/>
      <c r="WUH12" s="313"/>
      <c r="WUI12" s="95"/>
      <c r="WUJ12" s="313"/>
      <c r="WUK12" s="313"/>
      <c r="WUL12" s="313"/>
      <c r="WUM12" s="313"/>
      <c r="WUN12" s="313"/>
      <c r="WUO12" s="313"/>
      <c r="WUP12" s="313"/>
      <c r="WUQ12" s="95"/>
      <c r="WUR12" s="313"/>
      <c r="WUS12" s="313"/>
      <c r="WUT12" s="313"/>
      <c r="WUU12" s="313"/>
      <c r="WUV12" s="313"/>
      <c r="WUW12" s="313"/>
      <c r="WUX12" s="313"/>
      <c r="WUY12" s="95"/>
      <c r="WUZ12" s="313"/>
      <c r="WVA12" s="313"/>
      <c r="WVB12" s="313"/>
      <c r="WVC12" s="313"/>
      <c r="WVD12" s="313"/>
      <c r="WVE12" s="313"/>
      <c r="WVF12" s="313"/>
      <c r="WVG12" s="95"/>
      <c r="WVH12" s="313"/>
      <c r="WVI12" s="313"/>
      <c r="WVJ12" s="313"/>
      <c r="WVK12" s="313"/>
      <c r="WVL12" s="313"/>
      <c r="WVM12" s="313"/>
      <c r="WVN12" s="313"/>
      <c r="WVO12" s="95"/>
      <c r="WVP12" s="313"/>
      <c r="WVQ12" s="313"/>
      <c r="WVR12" s="313"/>
      <c r="WVS12" s="313"/>
      <c r="WVT12" s="313"/>
      <c r="WVU12" s="313"/>
      <c r="WVV12" s="313"/>
      <c r="WVW12" s="95"/>
      <c r="WVX12" s="313"/>
      <c r="WVY12" s="313"/>
      <c r="WVZ12" s="313"/>
      <c r="WWA12" s="313"/>
      <c r="WWB12" s="313"/>
      <c r="WWC12" s="313"/>
      <c r="WWD12" s="313"/>
      <c r="WWE12" s="95"/>
      <c r="WWF12" s="313"/>
      <c r="WWG12" s="313"/>
      <c r="WWH12" s="313"/>
      <c r="WWI12" s="313"/>
      <c r="WWJ12" s="313"/>
      <c r="WWK12" s="313"/>
      <c r="WWL12" s="313"/>
      <c r="WWM12" s="95"/>
      <c r="WWN12" s="313"/>
      <c r="WWO12" s="313"/>
      <c r="WWP12" s="313"/>
      <c r="WWQ12" s="313"/>
      <c r="WWR12" s="313"/>
      <c r="WWS12" s="313"/>
      <c r="WWT12" s="313"/>
      <c r="WWU12" s="95"/>
      <c r="WWV12" s="313"/>
      <c r="WWW12" s="313"/>
      <c r="WWX12" s="313"/>
      <c r="WWY12" s="313"/>
      <c r="WWZ12" s="313"/>
      <c r="WXA12" s="313"/>
      <c r="WXB12" s="313"/>
      <c r="WXC12" s="95"/>
      <c r="WXD12" s="313"/>
      <c r="WXE12" s="313"/>
      <c r="WXF12" s="313"/>
      <c r="WXG12" s="313"/>
      <c r="WXH12" s="313"/>
      <c r="WXI12" s="313"/>
      <c r="WXJ12" s="313"/>
      <c r="WXK12" s="95"/>
      <c r="WXL12" s="313"/>
      <c r="WXM12" s="313"/>
      <c r="WXN12" s="313"/>
      <c r="WXO12" s="313"/>
      <c r="WXP12" s="313"/>
      <c r="WXQ12" s="313"/>
      <c r="WXR12" s="313"/>
      <c r="WXS12" s="95"/>
      <c r="WXT12" s="313"/>
      <c r="WXU12" s="313"/>
      <c r="WXV12" s="313"/>
      <c r="WXW12" s="313"/>
      <c r="WXX12" s="313"/>
      <c r="WXY12" s="313"/>
      <c r="WXZ12" s="313"/>
      <c r="WYA12" s="95"/>
      <c r="WYB12" s="313"/>
      <c r="WYC12" s="313"/>
      <c r="WYD12" s="313"/>
      <c r="WYE12" s="313"/>
      <c r="WYF12" s="313"/>
      <c r="WYG12" s="313"/>
      <c r="WYH12" s="313"/>
      <c r="WYI12" s="95"/>
      <c r="WYJ12" s="313"/>
      <c r="WYK12" s="313"/>
      <c r="WYL12" s="313"/>
      <c r="WYM12" s="313"/>
      <c r="WYN12" s="313"/>
      <c r="WYO12" s="313"/>
      <c r="WYP12" s="313"/>
      <c r="WYQ12" s="95"/>
      <c r="WYR12" s="313"/>
      <c r="WYS12" s="313"/>
      <c r="WYT12" s="313"/>
      <c r="WYU12" s="313"/>
      <c r="WYV12" s="313"/>
      <c r="WYW12" s="313"/>
      <c r="WYX12" s="313"/>
      <c r="WYY12" s="95"/>
      <c r="WYZ12" s="313"/>
      <c r="WZA12" s="313"/>
      <c r="WZB12" s="313"/>
      <c r="WZC12" s="313"/>
      <c r="WZD12" s="313"/>
      <c r="WZE12" s="313"/>
      <c r="WZF12" s="313"/>
      <c r="WZG12" s="95"/>
      <c r="WZH12" s="313"/>
      <c r="WZI12" s="313"/>
      <c r="WZJ12" s="313"/>
      <c r="WZK12" s="313"/>
      <c r="WZL12" s="313"/>
      <c r="WZM12" s="313"/>
      <c r="WZN12" s="313"/>
      <c r="WZO12" s="95"/>
      <c r="WZP12" s="313"/>
      <c r="WZQ12" s="313"/>
      <c r="WZR12" s="313"/>
      <c r="WZS12" s="313"/>
      <c r="WZT12" s="313"/>
      <c r="WZU12" s="313"/>
      <c r="WZV12" s="313"/>
      <c r="WZW12" s="95"/>
      <c r="WZX12" s="313"/>
      <c r="WZY12" s="313"/>
      <c r="WZZ12" s="313"/>
      <c r="XAA12" s="313"/>
      <c r="XAB12" s="313"/>
      <c r="XAC12" s="313"/>
      <c r="XAD12" s="313"/>
      <c r="XAE12" s="95"/>
      <c r="XAF12" s="313"/>
      <c r="XAG12" s="313"/>
      <c r="XAH12" s="313"/>
      <c r="XAI12" s="313"/>
      <c r="XAJ12" s="313"/>
      <c r="XAK12" s="313"/>
      <c r="XAL12" s="313"/>
      <c r="XAM12" s="95"/>
      <c r="XAN12" s="313"/>
      <c r="XAO12" s="313"/>
      <c r="XAP12" s="313"/>
      <c r="XAQ12" s="313"/>
      <c r="XAR12" s="313"/>
      <c r="XAS12" s="313"/>
      <c r="XAT12" s="313"/>
      <c r="XAU12" s="95"/>
      <c r="XAV12" s="313"/>
      <c r="XAW12" s="313"/>
      <c r="XAX12" s="313"/>
      <c r="XAY12" s="313"/>
      <c r="XAZ12" s="313"/>
      <c r="XBA12" s="313"/>
      <c r="XBB12" s="313"/>
      <c r="XBC12" s="95"/>
      <c r="XBD12" s="313"/>
      <c r="XBE12" s="313"/>
      <c r="XBF12" s="313"/>
      <c r="XBG12" s="313"/>
      <c r="XBH12" s="313"/>
      <c r="XBI12" s="313"/>
      <c r="XBJ12" s="313"/>
      <c r="XBK12" s="95"/>
      <c r="XBL12" s="313"/>
      <c r="XBM12" s="313"/>
      <c r="XBN12" s="313"/>
      <c r="XBO12" s="313"/>
      <c r="XBP12" s="313"/>
      <c r="XBQ12" s="313"/>
      <c r="XBR12" s="313"/>
      <c r="XBS12" s="95"/>
      <c r="XBT12" s="313"/>
      <c r="XBU12" s="313"/>
      <c r="XBV12" s="313"/>
      <c r="XBW12" s="313"/>
      <c r="XBX12" s="313"/>
      <c r="XBY12" s="313"/>
      <c r="XBZ12" s="313"/>
      <c r="XCA12" s="95"/>
      <c r="XCB12" s="313"/>
      <c r="XCC12" s="313"/>
      <c r="XCD12" s="313"/>
      <c r="XCE12" s="313"/>
      <c r="XCF12" s="313"/>
      <c r="XCG12" s="313"/>
      <c r="XCH12" s="313"/>
      <c r="XCI12" s="95"/>
      <c r="XCJ12" s="313"/>
      <c r="XCK12" s="313"/>
      <c r="XCL12" s="313"/>
      <c r="XCM12" s="313"/>
      <c r="XCN12" s="313"/>
      <c r="XCO12" s="313"/>
      <c r="XCP12" s="313"/>
      <c r="XCQ12" s="95"/>
      <c r="XCR12" s="313"/>
      <c r="XCS12" s="313"/>
      <c r="XCT12" s="313"/>
      <c r="XCU12" s="313"/>
      <c r="XCV12" s="313"/>
      <c r="XCW12" s="313"/>
      <c r="XCX12" s="313"/>
      <c r="XCY12" s="95"/>
      <c r="XCZ12" s="313"/>
      <c r="XDA12" s="313"/>
      <c r="XDB12" s="313"/>
      <c r="XDC12" s="313"/>
      <c r="XDD12" s="313"/>
      <c r="XDE12" s="313"/>
      <c r="XDF12" s="313"/>
      <c r="XDG12" s="95"/>
      <c r="XDH12" s="313"/>
      <c r="XDI12" s="313"/>
      <c r="XDJ12" s="313"/>
      <c r="XDK12" s="313"/>
      <c r="XDL12" s="313"/>
      <c r="XDM12" s="313"/>
      <c r="XDN12" s="313"/>
      <c r="XDO12" s="95"/>
      <c r="XDP12" s="313"/>
      <c r="XDQ12" s="313"/>
      <c r="XDR12" s="313"/>
      <c r="XDS12" s="313"/>
      <c r="XDT12" s="313"/>
      <c r="XDU12" s="313"/>
      <c r="XDV12" s="313"/>
      <c r="XDW12" s="95"/>
      <c r="XDX12" s="313"/>
      <c r="XDY12" s="313"/>
      <c r="XDZ12" s="313"/>
      <c r="XEA12" s="313"/>
      <c r="XEB12" s="313"/>
      <c r="XEC12" s="313"/>
      <c r="XED12" s="313"/>
      <c r="XEE12" s="95"/>
      <c r="XEF12" s="313"/>
      <c r="XEG12" s="313"/>
      <c r="XEH12" s="313"/>
      <c r="XEI12" s="313"/>
      <c r="XEJ12" s="313"/>
      <c r="XEK12" s="313"/>
      <c r="XEL12" s="313"/>
      <c r="XEM12" s="95"/>
      <c r="XEN12" s="313"/>
      <c r="XEO12" s="313"/>
      <c r="XEP12" s="313"/>
      <c r="XEQ12" s="313"/>
      <c r="XER12" s="313"/>
      <c r="XES12" s="313"/>
      <c r="XET12" s="313"/>
      <c r="XEU12" s="95"/>
      <c r="XEV12" s="313"/>
      <c r="XEW12" s="313"/>
      <c r="XEX12" s="313"/>
      <c r="XEY12" s="313"/>
      <c r="XEZ12" s="313"/>
      <c r="XFA12" s="313"/>
      <c r="XFB12" s="313"/>
      <c r="XFC12" s="313"/>
    </row>
    <row r="13" spans="1:16383" ht="21" customHeight="1" x14ac:dyDescent="0.3">
      <c r="B13" s="535" t="s">
        <v>91</v>
      </c>
      <c r="C13" s="536"/>
      <c r="D13" s="537"/>
      <c r="F13" s="535" t="s">
        <v>92</v>
      </c>
      <c r="G13" s="536"/>
      <c r="H13" s="537"/>
      <c r="J13" s="535" t="s">
        <v>191</v>
      </c>
      <c r="K13" s="536"/>
      <c r="L13" s="537"/>
      <c r="N13" s="539"/>
      <c r="O13" s="539"/>
      <c r="P13" s="539"/>
      <c r="Q13"/>
      <c r="R13" s="539"/>
      <c r="S13" s="539"/>
      <c r="T13" s="539"/>
      <c r="V13" s="539"/>
      <c r="W13" s="539"/>
      <c r="X13" s="539"/>
      <c r="Y13" s="314"/>
      <c r="Z13" s="314"/>
      <c r="AA13" s="540"/>
      <c r="AB13" s="540"/>
      <c r="AD13" s="539"/>
      <c r="AE13" s="539"/>
      <c r="AF13" s="539"/>
      <c r="AG13" s="540"/>
      <c r="AH13" s="540"/>
    </row>
    <row r="14" spans="1:16383" ht="19.05" customHeight="1" x14ac:dyDescent="0.3">
      <c r="B14" s="302" t="s">
        <v>93</v>
      </c>
      <c r="C14" s="271" t="s">
        <v>0</v>
      </c>
      <c r="D14" s="278" t="s">
        <v>0</v>
      </c>
      <c r="F14" s="302" t="s">
        <v>94</v>
      </c>
      <c r="G14" s="280"/>
      <c r="H14" s="278" t="s">
        <v>0</v>
      </c>
      <c r="J14" s="279" t="s">
        <v>0</v>
      </c>
      <c r="K14" s="280"/>
      <c r="L14" s="278" t="s">
        <v>0</v>
      </c>
      <c r="N14" s="82"/>
      <c r="P14" s="317"/>
      <c r="Q14"/>
      <c r="Y14" s="287"/>
      <c r="Z14" s="286"/>
      <c r="AA14" s="286"/>
      <c r="AB14" s="288"/>
      <c r="AD14" s="285"/>
      <c r="AE14" s="286"/>
      <c r="AF14" s="287"/>
      <c r="AG14" s="286"/>
      <c r="AH14" s="288"/>
    </row>
    <row r="15" spans="1:16383" ht="17.55" customHeight="1" thickBot="1" x14ac:dyDescent="0.35">
      <c r="B15" s="426" t="s">
        <v>95</v>
      </c>
      <c r="C15" s="429">
        <v>0.1</v>
      </c>
      <c r="D15" s="463">
        <f>'SITES Conld. P&amp;L'!D45</f>
        <v>170808</v>
      </c>
      <c r="F15" s="330" t="s">
        <v>96</v>
      </c>
      <c r="G15" s="429"/>
      <c r="H15" s="316"/>
      <c r="J15" s="330" t="s">
        <v>97</v>
      </c>
      <c r="K15" s="429">
        <v>0.3</v>
      </c>
      <c r="L15" s="428" t="s">
        <v>0</v>
      </c>
      <c r="N15" s="84"/>
      <c r="O15" s="319"/>
      <c r="P15" s="317"/>
      <c r="Q15"/>
      <c r="R15" s="82"/>
      <c r="S15" s="318"/>
      <c r="T15" s="317"/>
      <c r="V15" s="82"/>
      <c r="W15" s="318"/>
      <c r="X15" s="317"/>
      <c r="Y15" s="284"/>
      <c r="Z15" s="284"/>
      <c r="AA15" s="283"/>
      <c r="AB15" s="290"/>
      <c r="AD15" s="289"/>
      <c r="AE15" s="184"/>
      <c r="AF15" s="283"/>
      <c r="AG15" s="283"/>
      <c r="AH15" s="290"/>
    </row>
    <row r="16" spans="1:16383" ht="18.75" customHeight="1" x14ac:dyDescent="0.3">
      <c r="B16" s="426" t="s">
        <v>98</v>
      </c>
      <c r="C16" s="429">
        <v>0.15</v>
      </c>
      <c r="D16" s="463">
        <f>'SITES Conld. P&amp;L'!D46</f>
        <v>32040</v>
      </c>
      <c r="F16" s="426" t="s">
        <v>99</v>
      </c>
      <c r="G16" s="462">
        <f>10000*12</f>
        <v>120000</v>
      </c>
      <c r="H16" s="316"/>
      <c r="J16" s="427" t="s">
        <v>200</v>
      </c>
      <c r="K16" s="466">
        <f>5500*8</f>
        <v>44000</v>
      </c>
      <c r="L16" s="466">
        <f>K16*8</f>
        <v>352000</v>
      </c>
      <c r="N16" s="84"/>
      <c r="O16" s="320"/>
      <c r="P16" s="317"/>
      <c r="Q16"/>
      <c r="R16" s="84"/>
      <c r="S16" s="321"/>
      <c r="T16" s="317"/>
      <c r="V16" s="84"/>
      <c r="X16" s="317"/>
      <c r="Y16" s="284"/>
      <c r="Z16" s="284"/>
      <c r="AA16" s="283"/>
      <c r="AB16" s="291"/>
      <c r="AD16" s="289"/>
      <c r="AE16" s="184"/>
      <c r="AF16" s="283"/>
      <c r="AG16" s="283"/>
      <c r="AH16" s="291"/>
    </row>
    <row r="17" spans="2:39" ht="18.75" customHeight="1" x14ac:dyDescent="0.3">
      <c r="B17" s="276"/>
      <c r="C17" s="272"/>
      <c r="D17" s="464"/>
      <c r="F17" s="315" t="s">
        <v>100</v>
      </c>
      <c r="G17" s="462">
        <f>10000*12</f>
        <v>120000</v>
      </c>
      <c r="H17" s="316"/>
      <c r="J17" s="427" t="s">
        <v>201</v>
      </c>
      <c r="K17" s="467">
        <f>5500*12</f>
        <v>66000</v>
      </c>
      <c r="L17" s="466">
        <f>K17*5</f>
        <v>330000</v>
      </c>
      <c r="N17" s="84"/>
      <c r="O17" s="94"/>
      <c r="P17" s="317"/>
      <c r="Q17"/>
      <c r="R17" s="84"/>
      <c r="S17" s="94"/>
      <c r="T17" s="317"/>
      <c r="V17" s="84"/>
      <c r="X17" s="317"/>
      <c r="Y17" s="284"/>
      <c r="Z17" s="284"/>
      <c r="AA17" s="283"/>
      <c r="AB17" s="291"/>
      <c r="AD17" s="289"/>
      <c r="AE17" s="184"/>
      <c r="AF17" s="283"/>
      <c r="AG17" s="283"/>
      <c r="AH17" s="291"/>
    </row>
    <row r="18" spans="2:39" ht="18.75" customHeight="1" x14ac:dyDescent="0.3">
      <c r="B18" s="276" t="s">
        <v>0</v>
      </c>
      <c r="C18" s="272" t="s">
        <v>0</v>
      </c>
      <c r="D18" s="464" t="s">
        <v>0</v>
      </c>
      <c r="F18" s="302" t="s">
        <v>101</v>
      </c>
      <c r="G18" s="462">
        <v>120000</v>
      </c>
      <c r="J18" s="461" t="s">
        <v>192</v>
      </c>
      <c r="K18" s="466">
        <f>5500*12</f>
        <v>66000</v>
      </c>
      <c r="L18" s="466">
        <f>K18*4</f>
        <v>264000</v>
      </c>
      <c r="N18" s="84"/>
      <c r="O18" s="94"/>
      <c r="P18" s="317"/>
      <c r="Q18"/>
      <c r="R18" s="84"/>
      <c r="S18" s="94"/>
      <c r="T18" s="317"/>
      <c r="V18" s="84"/>
      <c r="W18" s="94"/>
      <c r="X18" s="317"/>
      <c r="Y18" s="284"/>
      <c r="Z18" s="284"/>
      <c r="AA18" s="283"/>
      <c r="AB18" s="291"/>
      <c r="AD18" s="289"/>
      <c r="AE18" s="184"/>
      <c r="AF18" s="283"/>
      <c r="AG18" s="283"/>
      <c r="AH18" s="291"/>
    </row>
    <row r="19" spans="2:39" ht="21.6" customHeight="1" thickBot="1" x14ac:dyDescent="0.35">
      <c r="B19" s="279" t="s">
        <v>0</v>
      </c>
      <c r="C19" s="271" t="s">
        <v>0</v>
      </c>
      <c r="D19" s="465" t="s">
        <v>0</v>
      </c>
      <c r="F19" s="519" t="s">
        <v>102</v>
      </c>
      <c r="G19" s="462">
        <v>60000</v>
      </c>
      <c r="J19" s="279"/>
      <c r="K19" s="467"/>
      <c r="L19" s="466"/>
      <c r="N19" s="84"/>
      <c r="O19" s="94"/>
      <c r="P19" s="317"/>
      <c r="Q19"/>
      <c r="R19" s="84"/>
      <c r="S19" s="321"/>
      <c r="T19" s="317"/>
      <c r="V19" s="84"/>
      <c r="X19" s="317"/>
      <c r="Y19" s="284"/>
      <c r="Z19" s="284"/>
      <c r="AA19" s="283"/>
      <c r="AB19" s="291"/>
      <c r="AD19" s="289"/>
      <c r="AE19" s="184"/>
      <c r="AF19" s="283"/>
      <c r="AG19" s="283"/>
      <c r="AH19" s="291"/>
    </row>
    <row r="20" spans="2:39" ht="21.6" customHeight="1" thickBot="1" x14ac:dyDescent="0.35">
      <c r="C20" s="414"/>
      <c r="D20" s="425" t="s">
        <v>0</v>
      </c>
      <c r="F20" s="521" t="s">
        <v>103</v>
      </c>
      <c r="G20" s="518">
        <v>50000</v>
      </c>
      <c r="H20" s="301" t="s">
        <v>0</v>
      </c>
      <c r="J20" s="302"/>
      <c r="K20" s="467"/>
      <c r="L20" s="473"/>
      <c r="N20" s="84"/>
      <c r="O20" s="322"/>
      <c r="P20" s="317"/>
      <c r="Q20"/>
      <c r="R20" s="323"/>
      <c r="S20" s="94"/>
      <c r="T20" s="281"/>
      <c r="V20" s="323"/>
      <c r="W20" s="94"/>
      <c r="X20" s="281"/>
      <c r="Y20" s="284"/>
      <c r="Z20" s="284"/>
      <c r="AA20" s="283"/>
      <c r="AB20" s="291"/>
      <c r="AD20" s="289"/>
      <c r="AE20" s="184"/>
      <c r="AF20" s="283"/>
      <c r="AG20" s="283"/>
      <c r="AH20" s="291"/>
    </row>
    <row r="21" spans="2:39" ht="20.100000000000001" customHeight="1" thickBot="1" x14ac:dyDescent="0.35">
      <c r="B21" s="420" t="s">
        <v>0</v>
      </c>
      <c r="C21" s="421"/>
      <c r="D21" s="463">
        <f>D15+D16</f>
        <v>202848</v>
      </c>
      <c r="F21" s="520" t="s">
        <v>0</v>
      </c>
      <c r="G21" s="325" t="s">
        <v>0</v>
      </c>
      <c r="H21" s="463">
        <f>SUM(G16:G20)</f>
        <v>470000</v>
      </c>
      <c r="J21" s="302"/>
      <c r="K21" s="472"/>
      <c r="L21" s="474">
        <f>SUM(L16:L20)</f>
        <v>946000</v>
      </c>
      <c r="N21" s="538"/>
      <c r="O21" s="538"/>
      <c r="P21" s="538"/>
      <c r="Q21"/>
      <c r="R21" s="95"/>
      <c r="AA21" s="291"/>
      <c r="AB21" s="293"/>
      <c r="AC21" s="184"/>
      <c r="AD21" s="284"/>
      <c r="AE21" s="284"/>
      <c r="AF21" s="283"/>
      <c r="AG21" s="291"/>
      <c r="AI21" s="289"/>
      <c r="AJ21" s="184"/>
      <c r="AK21" s="283"/>
      <c r="AL21" s="283"/>
      <c r="AM21" s="291"/>
    </row>
    <row r="22" spans="2:39" ht="19.5" customHeight="1" x14ac:dyDescent="0.3">
      <c r="B22" s="277"/>
      <c r="C22" s="277" t="s">
        <v>0</v>
      </c>
      <c r="D22" s="304"/>
      <c r="F22" s="84"/>
      <c r="G22" s="269"/>
      <c r="H22" s="303"/>
      <c r="J22" s="96"/>
      <c r="K22" s="85"/>
      <c r="L22" s="281"/>
      <c r="N22" s="323"/>
      <c r="O22" s="94"/>
      <c r="P22" s="282"/>
      <c r="Q22"/>
      <c r="R22" s="95"/>
      <c r="S22" s="324"/>
      <c r="AA22" s="291"/>
      <c r="AB22" s="289"/>
      <c r="AC22" s="184"/>
      <c r="AD22" s="284"/>
      <c r="AE22" s="284"/>
      <c r="AF22" s="283"/>
      <c r="AG22" s="291"/>
      <c r="AI22" s="82"/>
      <c r="AJ22" s="184"/>
      <c r="AK22" s="283"/>
      <c r="AL22" s="283"/>
      <c r="AM22" s="291"/>
    </row>
    <row r="23" spans="2:39" ht="17.100000000000001" customHeight="1" x14ac:dyDescent="0.3">
      <c r="I23"/>
      <c r="P23" s="289"/>
      <c r="Q23" s="184"/>
      <c r="R23" s="283"/>
      <c r="S23" s="283"/>
      <c r="T23" s="291"/>
      <c r="V23" s="289"/>
      <c r="W23" s="184"/>
      <c r="X23" s="283"/>
      <c r="Y23" s="283"/>
      <c r="Z23" s="291"/>
    </row>
    <row r="24" spans="2:39" ht="20.100000000000001" customHeight="1" x14ac:dyDescent="0.3">
      <c r="F24" t="s">
        <v>0</v>
      </c>
      <c r="L24" s="274"/>
      <c r="M24" s="96"/>
      <c r="N24" s="84"/>
      <c r="O24" s="85"/>
      <c r="P24" s="82"/>
      <c r="AB24" s="289"/>
      <c r="AC24" s="184"/>
      <c r="AD24" s="283"/>
      <c r="AE24" s="283"/>
      <c r="AF24" s="291"/>
      <c r="AH24" s="289"/>
      <c r="AI24" s="184"/>
      <c r="AJ24" s="283"/>
      <c r="AK24" s="283"/>
      <c r="AL24" s="291"/>
    </row>
    <row r="25" spans="2:39" s="82" customFormat="1" ht="18" x14ac:dyDescent="0.3">
      <c r="B25" s="84"/>
      <c r="C25" s="85"/>
      <c r="D25" s="83"/>
      <c r="E25" s="86" t="s">
        <v>0</v>
      </c>
      <c r="F25"/>
      <c r="G25"/>
      <c r="H25"/>
      <c r="I25" s="83"/>
      <c r="Q25" s="95"/>
      <c r="R25" s="539"/>
      <c r="S25" s="539"/>
      <c r="T25" s="539"/>
      <c r="U25" s="539"/>
      <c r="V25" s="329"/>
      <c r="W25"/>
      <c r="X25"/>
      <c r="Y25"/>
      <c r="Z25"/>
    </row>
    <row r="26" spans="2:39" x14ac:dyDescent="0.3">
      <c r="J26" s="227"/>
      <c r="K26" s="228"/>
      <c r="L26" s="226"/>
    </row>
    <row r="27" spans="2:39" ht="28.8" x14ac:dyDescent="0.55000000000000004">
      <c r="B27" s="534" t="s">
        <v>104</v>
      </c>
      <c r="C27" s="534"/>
      <c r="D27" s="534"/>
      <c r="F27" s="275"/>
      <c r="G27" s="275"/>
      <c r="H27" s="275"/>
      <c r="J27" s="227"/>
      <c r="K27" s="225"/>
      <c r="L27" s="226"/>
    </row>
    <row r="28" spans="2:39" ht="15" thickBot="1" x14ac:dyDescent="0.35">
      <c r="G28" t="s">
        <v>0</v>
      </c>
    </row>
    <row r="29" spans="2:39" ht="15" thickBot="1" x14ac:dyDescent="0.35">
      <c r="B29" s="99" t="s">
        <v>105</v>
      </c>
      <c r="C29" s="294">
        <v>0.01</v>
      </c>
      <c r="G29" s="295"/>
    </row>
    <row r="30" spans="2:39" ht="15" thickBot="1" x14ac:dyDescent="0.35">
      <c r="B30" s="99" t="s">
        <v>106</v>
      </c>
      <c r="C30" s="294">
        <v>0.1</v>
      </c>
      <c r="G30" s="295"/>
      <c r="H30" s="296"/>
      <c r="K30" s="298" t="s">
        <v>0</v>
      </c>
    </row>
    <row r="31" spans="2:39" ht="18" x14ac:dyDescent="0.3">
      <c r="G31" s="295"/>
      <c r="H31" s="296"/>
      <c r="J31" s="541"/>
      <c r="K31" s="541"/>
      <c r="L31" s="541"/>
      <c r="N31" s="541"/>
      <c r="O31" s="541"/>
      <c r="P31" s="541"/>
    </row>
    <row r="32" spans="2:39" x14ac:dyDescent="0.3">
      <c r="F32" s="238"/>
      <c r="G32" s="255"/>
      <c r="H32" s="238"/>
      <c r="J32" s="375"/>
      <c r="K32" s="225"/>
      <c r="L32" s="226"/>
    </row>
    <row r="33" spans="2:12" x14ac:dyDescent="0.3">
      <c r="E33" s="86" t="s">
        <v>0</v>
      </c>
      <c r="F33" s="238"/>
      <c r="G33" s="255"/>
      <c r="H33" s="238"/>
      <c r="J33" s="227"/>
      <c r="K33" s="376"/>
      <c r="L33" s="226"/>
    </row>
    <row r="34" spans="2:12" ht="18" x14ac:dyDescent="0.3">
      <c r="B34" s="531" t="s">
        <v>107</v>
      </c>
      <c r="C34" s="532"/>
      <c r="D34" s="533"/>
      <c r="J34" s="227"/>
      <c r="K34" s="376"/>
      <c r="L34" s="226"/>
    </row>
    <row r="35" spans="2:12" x14ac:dyDescent="0.3">
      <c r="B35" s="250" t="s">
        <v>108</v>
      </c>
      <c r="C35" s="97">
        <f>D6+D8+H3</f>
        <v>430000</v>
      </c>
      <c r="D35" s="455" t="s">
        <v>17</v>
      </c>
      <c r="J35" s="227"/>
      <c r="K35" s="228"/>
      <c r="L35" s="226"/>
    </row>
    <row r="36" spans="2:12" x14ac:dyDescent="0.3">
      <c r="B36" s="393" t="s">
        <v>109</v>
      </c>
      <c r="C36" s="97">
        <f>D10</f>
        <v>50000</v>
      </c>
      <c r="D36" s="455" t="s">
        <v>17</v>
      </c>
      <c r="G36" s="308"/>
      <c r="J36" s="227"/>
      <c r="K36" s="228"/>
      <c r="L36" s="226"/>
    </row>
    <row r="37" spans="2:12" x14ac:dyDescent="0.3">
      <c r="B37" s="394" t="s">
        <v>110</v>
      </c>
      <c r="C37" s="97">
        <f>+H3</f>
        <v>250000</v>
      </c>
      <c r="D37" s="455" t="s">
        <v>17</v>
      </c>
      <c r="F37" s="298"/>
      <c r="G37" s="297"/>
      <c r="J37" s="227"/>
      <c r="K37" s="225"/>
      <c r="L37" s="226"/>
    </row>
    <row r="38" spans="2:12" x14ac:dyDescent="0.3">
      <c r="B38" s="251" t="s">
        <v>0</v>
      </c>
      <c r="C38" s="236" t="s">
        <v>0</v>
      </c>
      <c r="D38" s="455"/>
      <c r="J38" s="227"/>
      <c r="K38" s="229"/>
      <c r="L38" s="226"/>
    </row>
    <row r="39" spans="2:12" x14ac:dyDescent="0.3">
      <c r="B39" s="251" t="s">
        <v>0</v>
      </c>
      <c r="C39" s="236"/>
      <c r="D39" s="454"/>
    </row>
    <row r="40" spans="2:12" x14ac:dyDescent="0.3">
      <c r="B40" s="251" t="s">
        <v>111</v>
      </c>
      <c r="C40" s="98">
        <f>C35</f>
        <v>430000</v>
      </c>
      <c r="D40" s="455" t="s">
        <v>17</v>
      </c>
      <c r="F40" s="298"/>
    </row>
    <row r="41" spans="2:12" x14ac:dyDescent="0.3">
      <c r="B41" s="252" t="s">
        <v>112</v>
      </c>
      <c r="C41" s="378">
        <v>0.05</v>
      </c>
      <c r="D41" s="248" t="s">
        <v>14</v>
      </c>
    </row>
    <row r="42" spans="2:12" x14ac:dyDescent="0.3">
      <c r="B42" s="252" t="s">
        <v>113</v>
      </c>
      <c r="C42" s="97">
        <v>5</v>
      </c>
      <c r="D42" s="248" t="s">
        <v>114</v>
      </c>
    </row>
    <row r="43" spans="2:12" x14ac:dyDescent="0.3">
      <c r="B43" s="251" t="s">
        <v>195</v>
      </c>
      <c r="C43" s="98">
        <v>50000</v>
      </c>
      <c r="D43" s="248" t="s">
        <v>17</v>
      </c>
      <c r="F43" s="298"/>
    </row>
    <row r="44" spans="2:12" x14ac:dyDescent="0.3">
      <c r="B44" s="252" t="s">
        <v>115</v>
      </c>
      <c r="C44" s="377">
        <v>0.04</v>
      </c>
      <c r="D44" s="248" t="s">
        <v>14</v>
      </c>
    </row>
    <row r="45" spans="2:12" ht="15" thickBot="1" x14ac:dyDescent="0.35">
      <c r="B45" s="253" t="s">
        <v>196</v>
      </c>
      <c r="C45" s="374">
        <v>5</v>
      </c>
      <c r="D45" s="249" t="s">
        <v>114</v>
      </c>
    </row>
    <row r="47" spans="2:12" x14ac:dyDescent="0.3">
      <c r="B47" s="227"/>
      <c r="C47" s="229"/>
      <c r="D47" s="226"/>
      <c r="G47" t="s">
        <v>0</v>
      </c>
    </row>
    <row r="48" spans="2:12" x14ac:dyDescent="0.3">
      <c r="J48" s="297"/>
    </row>
    <row r="49" spans="3:11" x14ac:dyDescent="0.3">
      <c r="C49" s="299"/>
    </row>
    <row r="50" spans="3:11" x14ac:dyDescent="0.3">
      <c r="K50" s="300"/>
    </row>
    <row r="51" spans="3:11" x14ac:dyDescent="0.3">
      <c r="J51" s="300"/>
    </row>
  </sheetData>
  <mergeCells count="2072">
    <mergeCell ref="CZ1:DG1"/>
    <mergeCell ref="DH1:DO1"/>
    <mergeCell ref="DP1:DW1"/>
    <mergeCell ref="DX1:EE1"/>
    <mergeCell ref="EF1:EM1"/>
    <mergeCell ref="BL1:BS1"/>
    <mergeCell ref="BT1:CA1"/>
    <mergeCell ref="CB1:CI1"/>
    <mergeCell ref="CJ1:CQ1"/>
    <mergeCell ref="CR1:CY1"/>
    <mergeCell ref="A1:H1"/>
    <mergeCell ref="I1:P1"/>
    <mergeCell ref="Q1:W1"/>
    <mergeCell ref="B2:D2"/>
    <mergeCell ref="F2:H2"/>
    <mergeCell ref="J2:L2"/>
    <mergeCell ref="N2:P2"/>
    <mergeCell ref="R2:T2"/>
    <mergeCell ref="W2:X2"/>
    <mergeCell ref="Z2:AB2"/>
    <mergeCell ref="AC2:AD2"/>
    <mergeCell ref="B34:D34"/>
    <mergeCell ref="B27:D27"/>
    <mergeCell ref="F13:H13"/>
    <mergeCell ref="N21:P21"/>
    <mergeCell ref="R13:T13"/>
    <mergeCell ref="B13:D13"/>
    <mergeCell ref="J13:L13"/>
    <mergeCell ref="AV1:BC1"/>
    <mergeCell ref="BD1:BK1"/>
    <mergeCell ref="X1:AE1"/>
    <mergeCell ref="AF1:AM1"/>
    <mergeCell ref="AN1:AU1"/>
    <mergeCell ref="N13:P13"/>
    <mergeCell ref="R25:U25"/>
    <mergeCell ref="V13:X13"/>
    <mergeCell ref="AA13:AB13"/>
    <mergeCell ref="AD13:AF13"/>
    <mergeCell ref="AG13:AH13"/>
    <mergeCell ref="J31:L31"/>
    <mergeCell ref="N31:P31"/>
    <mergeCell ref="J11:L11"/>
    <mergeCell ref="JD1:JK1"/>
    <mergeCell ref="JL1:JS1"/>
    <mergeCell ref="JT1:KA1"/>
    <mergeCell ref="KB1:KI1"/>
    <mergeCell ref="KJ1:KQ1"/>
    <mergeCell ref="HP1:HW1"/>
    <mergeCell ref="HX1:IE1"/>
    <mergeCell ref="IF1:IM1"/>
    <mergeCell ref="IN1:IU1"/>
    <mergeCell ref="IV1:JC1"/>
    <mergeCell ref="GB1:GI1"/>
    <mergeCell ref="GJ1:GQ1"/>
    <mergeCell ref="GR1:GY1"/>
    <mergeCell ref="GZ1:HG1"/>
    <mergeCell ref="HH1:HO1"/>
    <mergeCell ref="EN1:EU1"/>
    <mergeCell ref="EV1:FC1"/>
    <mergeCell ref="FD1:FK1"/>
    <mergeCell ref="FL1:FS1"/>
    <mergeCell ref="FT1:GA1"/>
    <mergeCell ref="PH1:PO1"/>
    <mergeCell ref="PP1:PW1"/>
    <mergeCell ref="PX1:QE1"/>
    <mergeCell ref="QF1:QM1"/>
    <mergeCell ref="QN1:QU1"/>
    <mergeCell ref="NT1:OA1"/>
    <mergeCell ref="OB1:OI1"/>
    <mergeCell ref="OJ1:OQ1"/>
    <mergeCell ref="OR1:OY1"/>
    <mergeCell ref="OZ1:PG1"/>
    <mergeCell ref="MF1:MM1"/>
    <mergeCell ref="MN1:MU1"/>
    <mergeCell ref="MV1:NC1"/>
    <mergeCell ref="ND1:NK1"/>
    <mergeCell ref="NL1:NS1"/>
    <mergeCell ref="KR1:KY1"/>
    <mergeCell ref="KZ1:LG1"/>
    <mergeCell ref="LH1:LO1"/>
    <mergeCell ref="LP1:LW1"/>
    <mergeCell ref="LX1:ME1"/>
    <mergeCell ref="VL1:VS1"/>
    <mergeCell ref="VT1:WA1"/>
    <mergeCell ref="WB1:WI1"/>
    <mergeCell ref="WJ1:WQ1"/>
    <mergeCell ref="WR1:WY1"/>
    <mergeCell ref="TX1:UE1"/>
    <mergeCell ref="UF1:UM1"/>
    <mergeCell ref="UN1:UU1"/>
    <mergeCell ref="UV1:VC1"/>
    <mergeCell ref="VD1:VK1"/>
    <mergeCell ref="SJ1:SQ1"/>
    <mergeCell ref="SR1:SY1"/>
    <mergeCell ref="SZ1:TG1"/>
    <mergeCell ref="TH1:TO1"/>
    <mergeCell ref="TP1:TW1"/>
    <mergeCell ref="QV1:RC1"/>
    <mergeCell ref="RD1:RK1"/>
    <mergeCell ref="RL1:RS1"/>
    <mergeCell ref="RT1:SA1"/>
    <mergeCell ref="SB1:SI1"/>
    <mergeCell ref="ABP1:ABW1"/>
    <mergeCell ref="ABX1:ACE1"/>
    <mergeCell ref="ACF1:ACM1"/>
    <mergeCell ref="ACN1:ACU1"/>
    <mergeCell ref="ACV1:ADC1"/>
    <mergeCell ref="AAB1:AAI1"/>
    <mergeCell ref="AAJ1:AAQ1"/>
    <mergeCell ref="AAR1:AAY1"/>
    <mergeCell ref="AAZ1:ABG1"/>
    <mergeCell ref="ABH1:ABO1"/>
    <mergeCell ref="YN1:YU1"/>
    <mergeCell ref="YV1:ZC1"/>
    <mergeCell ref="ZD1:ZK1"/>
    <mergeCell ref="ZL1:ZS1"/>
    <mergeCell ref="ZT1:AAA1"/>
    <mergeCell ref="WZ1:XG1"/>
    <mergeCell ref="XH1:XO1"/>
    <mergeCell ref="XP1:XW1"/>
    <mergeCell ref="XX1:YE1"/>
    <mergeCell ref="YF1:YM1"/>
    <mergeCell ref="AHT1:AIA1"/>
    <mergeCell ref="AIB1:AII1"/>
    <mergeCell ref="AIJ1:AIQ1"/>
    <mergeCell ref="AIR1:AIY1"/>
    <mergeCell ref="AIZ1:AJG1"/>
    <mergeCell ref="AGF1:AGM1"/>
    <mergeCell ref="AGN1:AGU1"/>
    <mergeCell ref="AGV1:AHC1"/>
    <mergeCell ref="AHD1:AHK1"/>
    <mergeCell ref="AHL1:AHS1"/>
    <mergeCell ref="AER1:AEY1"/>
    <mergeCell ref="AEZ1:AFG1"/>
    <mergeCell ref="AFH1:AFO1"/>
    <mergeCell ref="AFP1:AFW1"/>
    <mergeCell ref="AFX1:AGE1"/>
    <mergeCell ref="ADD1:ADK1"/>
    <mergeCell ref="ADL1:ADS1"/>
    <mergeCell ref="ADT1:AEA1"/>
    <mergeCell ref="AEB1:AEI1"/>
    <mergeCell ref="AEJ1:AEQ1"/>
    <mergeCell ref="ANX1:AOE1"/>
    <mergeCell ref="AOF1:AOM1"/>
    <mergeCell ref="AON1:AOU1"/>
    <mergeCell ref="AOV1:APC1"/>
    <mergeCell ref="APD1:APK1"/>
    <mergeCell ref="AMJ1:AMQ1"/>
    <mergeCell ref="AMR1:AMY1"/>
    <mergeCell ref="AMZ1:ANG1"/>
    <mergeCell ref="ANH1:ANO1"/>
    <mergeCell ref="ANP1:ANW1"/>
    <mergeCell ref="AKV1:ALC1"/>
    <mergeCell ref="ALD1:ALK1"/>
    <mergeCell ref="ALL1:ALS1"/>
    <mergeCell ref="ALT1:AMA1"/>
    <mergeCell ref="AMB1:AMI1"/>
    <mergeCell ref="AJH1:AJO1"/>
    <mergeCell ref="AJP1:AJW1"/>
    <mergeCell ref="AJX1:AKE1"/>
    <mergeCell ref="AKF1:AKM1"/>
    <mergeCell ref="AKN1:AKU1"/>
    <mergeCell ref="AUB1:AUI1"/>
    <mergeCell ref="AUJ1:AUQ1"/>
    <mergeCell ref="AUR1:AUY1"/>
    <mergeCell ref="AUZ1:AVG1"/>
    <mergeCell ref="AVH1:AVO1"/>
    <mergeCell ref="ASN1:ASU1"/>
    <mergeCell ref="ASV1:ATC1"/>
    <mergeCell ref="ATD1:ATK1"/>
    <mergeCell ref="ATL1:ATS1"/>
    <mergeCell ref="ATT1:AUA1"/>
    <mergeCell ref="AQZ1:ARG1"/>
    <mergeCell ref="ARH1:ARO1"/>
    <mergeCell ref="ARP1:ARW1"/>
    <mergeCell ref="ARX1:ASE1"/>
    <mergeCell ref="ASF1:ASM1"/>
    <mergeCell ref="APL1:APS1"/>
    <mergeCell ref="APT1:AQA1"/>
    <mergeCell ref="AQB1:AQI1"/>
    <mergeCell ref="AQJ1:AQQ1"/>
    <mergeCell ref="AQR1:AQY1"/>
    <mergeCell ref="BAF1:BAM1"/>
    <mergeCell ref="BAN1:BAU1"/>
    <mergeCell ref="BAV1:BBC1"/>
    <mergeCell ref="BBD1:BBK1"/>
    <mergeCell ref="BBL1:BBS1"/>
    <mergeCell ref="AYR1:AYY1"/>
    <mergeCell ref="AYZ1:AZG1"/>
    <mergeCell ref="AZH1:AZO1"/>
    <mergeCell ref="AZP1:AZW1"/>
    <mergeCell ref="AZX1:BAE1"/>
    <mergeCell ref="AXD1:AXK1"/>
    <mergeCell ref="AXL1:AXS1"/>
    <mergeCell ref="AXT1:AYA1"/>
    <mergeCell ref="AYB1:AYI1"/>
    <mergeCell ref="AYJ1:AYQ1"/>
    <mergeCell ref="AVP1:AVW1"/>
    <mergeCell ref="AVX1:AWE1"/>
    <mergeCell ref="AWF1:AWM1"/>
    <mergeCell ref="AWN1:AWU1"/>
    <mergeCell ref="AWV1:AXC1"/>
    <mergeCell ref="BGJ1:BGQ1"/>
    <mergeCell ref="BGR1:BGY1"/>
    <mergeCell ref="BGZ1:BHG1"/>
    <mergeCell ref="BHH1:BHO1"/>
    <mergeCell ref="BHP1:BHW1"/>
    <mergeCell ref="BEV1:BFC1"/>
    <mergeCell ref="BFD1:BFK1"/>
    <mergeCell ref="BFL1:BFS1"/>
    <mergeCell ref="BFT1:BGA1"/>
    <mergeCell ref="BGB1:BGI1"/>
    <mergeCell ref="BDH1:BDO1"/>
    <mergeCell ref="BDP1:BDW1"/>
    <mergeCell ref="BDX1:BEE1"/>
    <mergeCell ref="BEF1:BEM1"/>
    <mergeCell ref="BEN1:BEU1"/>
    <mergeCell ref="BBT1:BCA1"/>
    <mergeCell ref="BCB1:BCI1"/>
    <mergeCell ref="BCJ1:BCQ1"/>
    <mergeCell ref="BCR1:BCY1"/>
    <mergeCell ref="BCZ1:BDG1"/>
    <mergeCell ref="BMN1:BMU1"/>
    <mergeCell ref="BMV1:BNC1"/>
    <mergeCell ref="BND1:BNK1"/>
    <mergeCell ref="BNL1:BNS1"/>
    <mergeCell ref="BNT1:BOA1"/>
    <mergeCell ref="BKZ1:BLG1"/>
    <mergeCell ref="BLH1:BLO1"/>
    <mergeCell ref="BLP1:BLW1"/>
    <mergeCell ref="BLX1:BME1"/>
    <mergeCell ref="BMF1:BMM1"/>
    <mergeCell ref="BJL1:BJS1"/>
    <mergeCell ref="BJT1:BKA1"/>
    <mergeCell ref="BKB1:BKI1"/>
    <mergeCell ref="BKJ1:BKQ1"/>
    <mergeCell ref="BKR1:BKY1"/>
    <mergeCell ref="BHX1:BIE1"/>
    <mergeCell ref="BIF1:BIM1"/>
    <mergeCell ref="BIN1:BIU1"/>
    <mergeCell ref="BIV1:BJC1"/>
    <mergeCell ref="BJD1:BJK1"/>
    <mergeCell ref="BSR1:BSY1"/>
    <mergeCell ref="BSZ1:BTG1"/>
    <mergeCell ref="BTH1:BTO1"/>
    <mergeCell ref="BTP1:BTW1"/>
    <mergeCell ref="BTX1:BUE1"/>
    <mergeCell ref="BRD1:BRK1"/>
    <mergeCell ref="BRL1:BRS1"/>
    <mergeCell ref="BRT1:BSA1"/>
    <mergeCell ref="BSB1:BSI1"/>
    <mergeCell ref="BSJ1:BSQ1"/>
    <mergeCell ref="BPP1:BPW1"/>
    <mergeCell ref="BPX1:BQE1"/>
    <mergeCell ref="BQF1:BQM1"/>
    <mergeCell ref="BQN1:BQU1"/>
    <mergeCell ref="BQV1:BRC1"/>
    <mergeCell ref="BOB1:BOI1"/>
    <mergeCell ref="BOJ1:BOQ1"/>
    <mergeCell ref="BOR1:BOY1"/>
    <mergeCell ref="BOZ1:BPG1"/>
    <mergeCell ref="BPH1:BPO1"/>
    <mergeCell ref="BYV1:BZC1"/>
    <mergeCell ref="BZD1:BZK1"/>
    <mergeCell ref="BZL1:BZS1"/>
    <mergeCell ref="BZT1:CAA1"/>
    <mergeCell ref="CAB1:CAI1"/>
    <mergeCell ref="BXH1:BXO1"/>
    <mergeCell ref="BXP1:BXW1"/>
    <mergeCell ref="BXX1:BYE1"/>
    <mergeCell ref="BYF1:BYM1"/>
    <mergeCell ref="BYN1:BYU1"/>
    <mergeCell ref="BVT1:BWA1"/>
    <mergeCell ref="BWB1:BWI1"/>
    <mergeCell ref="BWJ1:BWQ1"/>
    <mergeCell ref="BWR1:BWY1"/>
    <mergeCell ref="BWZ1:BXG1"/>
    <mergeCell ref="BUF1:BUM1"/>
    <mergeCell ref="BUN1:BUU1"/>
    <mergeCell ref="BUV1:BVC1"/>
    <mergeCell ref="BVD1:BVK1"/>
    <mergeCell ref="BVL1:BVS1"/>
    <mergeCell ref="CEZ1:CFG1"/>
    <mergeCell ref="CFH1:CFO1"/>
    <mergeCell ref="CFP1:CFW1"/>
    <mergeCell ref="CFX1:CGE1"/>
    <mergeCell ref="CGF1:CGM1"/>
    <mergeCell ref="CDL1:CDS1"/>
    <mergeCell ref="CDT1:CEA1"/>
    <mergeCell ref="CEB1:CEI1"/>
    <mergeCell ref="CEJ1:CEQ1"/>
    <mergeCell ref="CER1:CEY1"/>
    <mergeCell ref="CBX1:CCE1"/>
    <mergeCell ref="CCF1:CCM1"/>
    <mergeCell ref="CCN1:CCU1"/>
    <mergeCell ref="CCV1:CDC1"/>
    <mergeCell ref="CDD1:CDK1"/>
    <mergeCell ref="CAJ1:CAQ1"/>
    <mergeCell ref="CAR1:CAY1"/>
    <mergeCell ref="CAZ1:CBG1"/>
    <mergeCell ref="CBH1:CBO1"/>
    <mergeCell ref="CBP1:CBW1"/>
    <mergeCell ref="CLD1:CLK1"/>
    <mergeCell ref="CLL1:CLS1"/>
    <mergeCell ref="CLT1:CMA1"/>
    <mergeCell ref="CMB1:CMI1"/>
    <mergeCell ref="CMJ1:CMQ1"/>
    <mergeCell ref="CJP1:CJW1"/>
    <mergeCell ref="CJX1:CKE1"/>
    <mergeCell ref="CKF1:CKM1"/>
    <mergeCell ref="CKN1:CKU1"/>
    <mergeCell ref="CKV1:CLC1"/>
    <mergeCell ref="CIB1:CII1"/>
    <mergeCell ref="CIJ1:CIQ1"/>
    <mergeCell ref="CIR1:CIY1"/>
    <mergeCell ref="CIZ1:CJG1"/>
    <mergeCell ref="CJH1:CJO1"/>
    <mergeCell ref="CGN1:CGU1"/>
    <mergeCell ref="CGV1:CHC1"/>
    <mergeCell ref="CHD1:CHK1"/>
    <mergeCell ref="CHL1:CHS1"/>
    <mergeCell ref="CHT1:CIA1"/>
    <mergeCell ref="CRH1:CRO1"/>
    <mergeCell ref="CRP1:CRW1"/>
    <mergeCell ref="CRX1:CSE1"/>
    <mergeCell ref="CSF1:CSM1"/>
    <mergeCell ref="CSN1:CSU1"/>
    <mergeCell ref="CPT1:CQA1"/>
    <mergeCell ref="CQB1:CQI1"/>
    <mergeCell ref="CQJ1:CQQ1"/>
    <mergeCell ref="CQR1:CQY1"/>
    <mergeCell ref="CQZ1:CRG1"/>
    <mergeCell ref="COF1:COM1"/>
    <mergeCell ref="CON1:COU1"/>
    <mergeCell ref="COV1:CPC1"/>
    <mergeCell ref="CPD1:CPK1"/>
    <mergeCell ref="CPL1:CPS1"/>
    <mergeCell ref="CMR1:CMY1"/>
    <mergeCell ref="CMZ1:CNG1"/>
    <mergeCell ref="CNH1:CNO1"/>
    <mergeCell ref="CNP1:CNW1"/>
    <mergeCell ref="CNX1:COE1"/>
    <mergeCell ref="CXL1:CXS1"/>
    <mergeCell ref="CXT1:CYA1"/>
    <mergeCell ref="CYB1:CYI1"/>
    <mergeCell ref="CYJ1:CYQ1"/>
    <mergeCell ref="CYR1:CYY1"/>
    <mergeCell ref="CVX1:CWE1"/>
    <mergeCell ref="CWF1:CWM1"/>
    <mergeCell ref="CWN1:CWU1"/>
    <mergeCell ref="CWV1:CXC1"/>
    <mergeCell ref="CXD1:CXK1"/>
    <mergeCell ref="CUJ1:CUQ1"/>
    <mergeCell ref="CUR1:CUY1"/>
    <mergeCell ref="CUZ1:CVG1"/>
    <mergeCell ref="CVH1:CVO1"/>
    <mergeCell ref="CVP1:CVW1"/>
    <mergeCell ref="CSV1:CTC1"/>
    <mergeCell ref="CTD1:CTK1"/>
    <mergeCell ref="CTL1:CTS1"/>
    <mergeCell ref="CTT1:CUA1"/>
    <mergeCell ref="CUB1:CUI1"/>
    <mergeCell ref="DDP1:DDW1"/>
    <mergeCell ref="DDX1:DEE1"/>
    <mergeCell ref="DEF1:DEM1"/>
    <mergeCell ref="DEN1:DEU1"/>
    <mergeCell ref="DEV1:DFC1"/>
    <mergeCell ref="DCB1:DCI1"/>
    <mergeCell ref="DCJ1:DCQ1"/>
    <mergeCell ref="DCR1:DCY1"/>
    <mergeCell ref="DCZ1:DDG1"/>
    <mergeCell ref="DDH1:DDO1"/>
    <mergeCell ref="DAN1:DAU1"/>
    <mergeCell ref="DAV1:DBC1"/>
    <mergeCell ref="DBD1:DBK1"/>
    <mergeCell ref="DBL1:DBS1"/>
    <mergeCell ref="DBT1:DCA1"/>
    <mergeCell ref="CYZ1:CZG1"/>
    <mergeCell ref="CZH1:CZO1"/>
    <mergeCell ref="CZP1:CZW1"/>
    <mergeCell ref="CZX1:DAE1"/>
    <mergeCell ref="DAF1:DAM1"/>
    <mergeCell ref="DJT1:DKA1"/>
    <mergeCell ref="DKB1:DKI1"/>
    <mergeCell ref="DKJ1:DKQ1"/>
    <mergeCell ref="DKR1:DKY1"/>
    <mergeCell ref="DKZ1:DLG1"/>
    <mergeCell ref="DIF1:DIM1"/>
    <mergeCell ref="DIN1:DIU1"/>
    <mergeCell ref="DIV1:DJC1"/>
    <mergeCell ref="DJD1:DJK1"/>
    <mergeCell ref="DJL1:DJS1"/>
    <mergeCell ref="DGR1:DGY1"/>
    <mergeCell ref="DGZ1:DHG1"/>
    <mergeCell ref="DHH1:DHO1"/>
    <mergeCell ref="DHP1:DHW1"/>
    <mergeCell ref="DHX1:DIE1"/>
    <mergeCell ref="DFD1:DFK1"/>
    <mergeCell ref="DFL1:DFS1"/>
    <mergeCell ref="DFT1:DGA1"/>
    <mergeCell ref="DGB1:DGI1"/>
    <mergeCell ref="DGJ1:DGQ1"/>
    <mergeCell ref="DPX1:DQE1"/>
    <mergeCell ref="DQF1:DQM1"/>
    <mergeCell ref="DQN1:DQU1"/>
    <mergeCell ref="DQV1:DRC1"/>
    <mergeCell ref="DRD1:DRK1"/>
    <mergeCell ref="DOJ1:DOQ1"/>
    <mergeCell ref="DOR1:DOY1"/>
    <mergeCell ref="DOZ1:DPG1"/>
    <mergeCell ref="DPH1:DPO1"/>
    <mergeCell ref="DPP1:DPW1"/>
    <mergeCell ref="DMV1:DNC1"/>
    <mergeCell ref="DND1:DNK1"/>
    <mergeCell ref="DNL1:DNS1"/>
    <mergeCell ref="DNT1:DOA1"/>
    <mergeCell ref="DOB1:DOI1"/>
    <mergeCell ref="DLH1:DLO1"/>
    <mergeCell ref="DLP1:DLW1"/>
    <mergeCell ref="DLX1:DME1"/>
    <mergeCell ref="DMF1:DMM1"/>
    <mergeCell ref="DMN1:DMU1"/>
    <mergeCell ref="DWB1:DWI1"/>
    <mergeCell ref="DWJ1:DWQ1"/>
    <mergeCell ref="DWR1:DWY1"/>
    <mergeCell ref="DWZ1:DXG1"/>
    <mergeCell ref="DXH1:DXO1"/>
    <mergeCell ref="DUN1:DUU1"/>
    <mergeCell ref="DUV1:DVC1"/>
    <mergeCell ref="DVD1:DVK1"/>
    <mergeCell ref="DVL1:DVS1"/>
    <mergeCell ref="DVT1:DWA1"/>
    <mergeCell ref="DSZ1:DTG1"/>
    <mergeCell ref="DTH1:DTO1"/>
    <mergeCell ref="DTP1:DTW1"/>
    <mergeCell ref="DTX1:DUE1"/>
    <mergeCell ref="DUF1:DUM1"/>
    <mergeCell ref="DRL1:DRS1"/>
    <mergeCell ref="DRT1:DSA1"/>
    <mergeCell ref="DSB1:DSI1"/>
    <mergeCell ref="DSJ1:DSQ1"/>
    <mergeCell ref="DSR1:DSY1"/>
    <mergeCell ref="ECF1:ECM1"/>
    <mergeCell ref="ECN1:ECU1"/>
    <mergeCell ref="ECV1:EDC1"/>
    <mergeCell ref="EDD1:EDK1"/>
    <mergeCell ref="EDL1:EDS1"/>
    <mergeCell ref="EAR1:EAY1"/>
    <mergeCell ref="EAZ1:EBG1"/>
    <mergeCell ref="EBH1:EBO1"/>
    <mergeCell ref="EBP1:EBW1"/>
    <mergeCell ref="EBX1:ECE1"/>
    <mergeCell ref="DZD1:DZK1"/>
    <mergeCell ref="DZL1:DZS1"/>
    <mergeCell ref="DZT1:EAA1"/>
    <mergeCell ref="EAB1:EAI1"/>
    <mergeCell ref="EAJ1:EAQ1"/>
    <mergeCell ref="DXP1:DXW1"/>
    <mergeCell ref="DXX1:DYE1"/>
    <mergeCell ref="DYF1:DYM1"/>
    <mergeCell ref="DYN1:DYU1"/>
    <mergeCell ref="DYV1:DZC1"/>
    <mergeCell ref="EIJ1:EIQ1"/>
    <mergeCell ref="EIR1:EIY1"/>
    <mergeCell ref="EIZ1:EJG1"/>
    <mergeCell ref="EJH1:EJO1"/>
    <mergeCell ref="EJP1:EJW1"/>
    <mergeCell ref="EGV1:EHC1"/>
    <mergeCell ref="EHD1:EHK1"/>
    <mergeCell ref="EHL1:EHS1"/>
    <mergeCell ref="EHT1:EIA1"/>
    <mergeCell ref="EIB1:EII1"/>
    <mergeCell ref="EFH1:EFO1"/>
    <mergeCell ref="EFP1:EFW1"/>
    <mergeCell ref="EFX1:EGE1"/>
    <mergeCell ref="EGF1:EGM1"/>
    <mergeCell ref="EGN1:EGU1"/>
    <mergeCell ref="EDT1:EEA1"/>
    <mergeCell ref="EEB1:EEI1"/>
    <mergeCell ref="EEJ1:EEQ1"/>
    <mergeCell ref="EER1:EEY1"/>
    <mergeCell ref="EEZ1:EFG1"/>
    <mergeCell ref="EON1:EOU1"/>
    <mergeCell ref="EOV1:EPC1"/>
    <mergeCell ref="EPD1:EPK1"/>
    <mergeCell ref="EPL1:EPS1"/>
    <mergeCell ref="EPT1:EQA1"/>
    <mergeCell ref="EMZ1:ENG1"/>
    <mergeCell ref="ENH1:ENO1"/>
    <mergeCell ref="ENP1:ENW1"/>
    <mergeCell ref="ENX1:EOE1"/>
    <mergeCell ref="EOF1:EOM1"/>
    <mergeCell ref="ELL1:ELS1"/>
    <mergeCell ref="ELT1:EMA1"/>
    <mergeCell ref="EMB1:EMI1"/>
    <mergeCell ref="EMJ1:EMQ1"/>
    <mergeCell ref="EMR1:EMY1"/>
    <mergeCell ref="EJX1:EKE1"/>
    <mergeCell ref="EKF1:EKM1"/>
    <mergeCell ref="EKN1:EKU1"/>
    <mergeCell ref="EKV1:ELC1"/>
    <mergeCell ref="ELD1:ELK1"/>
    <mergeCell ref="EUR1:EUY1"/>
    <mergeCell ref="EUZ1:EVG1"/>
    <mergeCell ref="EVH1:EVO1"/>
    <mergeCell ref="EVP1:EVW1"/>
    <mergeCell ref="EVX1:EWE1"/>
    <mergeCell ref="ETD1:ETK1"/>
    <mergeCell ref="ETL1:ETS1"/>
    <mergeCell ref="ETT1:EUA1"/>
    <mergeCell ref="EUB1:EUI1"/>
    <mergeCell ref="EUJ1:EUQ1"/>
    <mergeCell ref="ERP1:ERW1"/>
    <mergeCell ref="ERX1:ESE1"/>
    <mergeCell ref="ESF1:ESM1"/>
    <mergeCell ref="ESN1:ESU1"/>
    <mergeCell ref="ESV1:ETC1"/>
    <mergeCell ref="EQB1:EQI1"/>
    <mergeCell ref="EQJ1:EQQ1"/>
    <mergeCell ref="EQR1:EQY1"/>
    <mergeCell ref="EQZ1:ERG1"/>
    <mergeCell ref="ERH1:ERO1"/>
    <mergeCell ref="FAV1:FBC1"/>
    <mergeCell ref="FBD1:FBK1"/>
    <mergeCell ref="FBL1:FBS1"/>
    <mergeCell ref="FBT1:FCA1"/>
    <mergeCell ref="FCB1:FCI1"/>
    <mergeCell ref="EZH1:EZO1"/>
    <mergeCell ref="EZP1:EZW1"/>
    <mergeCell ref="EZX1:FAE1"/>
    <mergeCell ref="FAF1:FAM1"/>
    <mergeCell ref="FAN1:FAU1"/>
    <mergeCell ref="EXT1:EYA1"/>
    <mergeCell ref="EYB1:EYI1"/>
    <mergeCell ref="EYJ1:EYQ1"/>
    <mergeCell ref="EYR1:EYY1"/>
    <mergeCell ref="EYZ1:EZG1"/>
    <mergeCell ref="EWF1:EWM1"/>
    <mergeCell ref="EWN1:EWU1"/>
    <mergeCell ref="EWV1:EXC1"/>
    <mergeCell ref="EXD1:EXK1"/>
    <mergeCell ref="EXL1:EXS1"/>
    <mergeCell ref="FGZ1:FHG1"/>
    <mergeCell ref="FHH1:FHO1"/>
    <mergeCell ref="FHP1:FHW1"/>
    <mergeCell ref="FHX1:FIE1"/>
    <mergeCell ref="FIF1:FIM1"/>
    <mergeCell ref="FFL1:FFS1"/>
    <mergeCell ref="FFT1:FGA1"/>
    <mergeCell ref="FGB1:FGI1"/>
    <mergeCell ref="FGJ1:FGQ1"/>
    <mergeCell ref="FGR1:FGY1"/>
    <mergeCell ref="FDX1:FEE1"/>
    <mergeCell ref="FEF1:FEM1"/>
    <mergeCell ref="FEN1:FEU1"/>
    <mergeCell ref="FEV1:FFC1"/>
    <mergeCell ref="FFD1:FFK1"/>
    <mergeCell ref="FCJ1:FCQ1"/>
    <mergeCell ref="FCR1:FCY1"/>
    <mergeCell ref="FCZ1:FDG1"/>
    <mergeCell ref="FDH1:FDO1"/>
    <mergeCell ref="FDP1:FDW1"/>
    <mergeCell ref="FND1:FNK1"/>
    <mergeCell ref="FNL1:FNS1"/>
    <mergeCell ref="FNT1:FOA1"/>
    <mergeCell ref="FOB1:FOI1"/>
    <mergeCell ref="FOJ1:FOQ1"/>
    <mergeCell ref="FLP1:FLW1"/>
    <mergeCell ref="FLX1:FME1"/>
    <mergeCell ref="FMF1:FMM1"/>
    <mergeCell ref="FMN1:FMU1"/>
    <mergeCell ref="FMV1:FNC1"/>
    <mergeCell ref="FKB1:FKI1"/>
    <mergeCell ref="FKJ1:FKQ1"/>
    <mergeCell ref="FKR1:FKY1"/>
    <mergeCell ref="FKZ1:FLG1"/>
    <mergeCell ref="FLH1:FLO1"/>
    <mergeCell ref="FIN1:FIU1"/>
    <mergeCell ref="FIV1:FJC1"/>
    <mergeCell ref="FJD1:FJK1"/>
    <mergeCell ref="FJL1:FJS1"/>
    <mergeCell ref="FJT1:FKA1"/>
    <mergeCell ref="FTH1:FTO1"/>
    <mergeCell ref="FTP1:FTW1"/>
    <mergeCell ref="FTX1:FUE1"/>
    <mergeCell ref="FUF1:FUM1"/>
    <mergeCell ref="FUN1:FUU1"/>
    <mergeCell ref="FRT1:FSA1"/>
    <mergeCell ref="FSB1:FSI1"/>
    <mergeCell ref="FSJ1:FSQ1"/>
    <mergeCell ref="FSR1:FSY1"/>
    <mergeCell ref="FSZ1:FTG1"/>
    <mergeCell ref="FQF1:FQM1"/>
    <mergeCell ref="FQN1:FQU1"/>
    <mergeCell ref="FQV1:FRC1"/>
    <mergeCell ref="FRD1:FRK1"/>
    <mergeCell ref="FRL1:FRS1"/>
    <mergeCell ref="FOR1:FOY1"/>
    <mergeCell ref="FOZ1:FPG1"/>
    <mergeCell ref="FPH1:FPO1"/>
    <mergeCell ref="FPP1:FPW1"/>
    <mergeCell ref="FPX1:FQE1"/>
    <mergeCell ref="FZL1:FZS1"/>
    <mergeCell ref="FZT1:GAA1"/>
    <mergeCell ref="GAB1:GAI1"/>
    <mergeCell ref="GAJ1:GAQ1"/>
    <mergeCell ref="GAR1:GAY1"/>
    <mergeCell ref="FXX1:FYE1"/>
    <mergeCell ref="FYF1:FYM1"/>
    <mergeCell ref="FYN1:FYU1"/>
    <mergeCell ref="FYV1:FZC1"/>
    <mergeCell ref="FZD1:FZK1"/>
    <mergeCell ref="FWJ1:FWQ1"/>
    <mergeCell ref="FWR1:FWY1"/>
    <mergeCell ref="FWZ1:FXG1"/>
    <mergeCell ref="FXH1:FXO1"/>
    <mergeCell ref="FXP1:FXW1"/>
    <mergeCell ref="FUV1:FVC1"/>
    <mergeCell ref="FVD1:FVK1"/>
    <mergeCell ref="FVL1:FVS1"/>
    <mergeCell ref="FVT1:FWA1"/>
    <mergeCell ref="FWB1:FWI1"/>
    <mergeCell ref="GFP1:GFW1"/>
    <mergeCell ref="GFX1:GGE1"/>
    <mergeCell ref="GGF1:GGM1"/>
    <mergeCell ref="GGN1:GGU1"/>
    <mergeCell ref="GGV1:GHC1"/>
    <mergeCell ref="GEB1:GEI1"/>
    <mergeCell ref="GEJ1:GEQ1"/>
    <mergeCell ref="GER1:GEY1"/>
    <mergeCell ref="GEZ1:GFG1"/>
    <mergeCell ref="GFH1:GFO1"/>
    <mergeCell ref="GCN1:GCU1"/>
    <mergeCell ref="GCV1:GDC1"/>
    <mergeCell ref="GDD1:GDK1"/>
    <mergeCell ref="GDL1:GDS1"/>
    <mergeCell ref="GDT1:GEA1"/>
    <mergeCell ref="GAZ1:GBG1"/>
    <mergeCell ref="GBH1:GBO1"/>
    <mergeCell ref="GBP1:GBW1"/>
    <mergeCell ref="GBX1:GCE1"/>
    <mergeCell ref="GCF1:GCM1"/>
    <mergeCell ref="GLT1:GMA1"/>
    <mergeCell ref="GMB1:GMI1"/>
    <mergeCell ref="GMJ1:GMQ1"/>
    <mergeCell ref="GMR1:GMY1"/>
    <mergeCell ref="GMZ1:GNG1"/>
    <mergeCell ref="GKF1:GKM1"/>
    <mergeCell ref="GKN1:GKU1"/>
    <mergeCell ref="GKV1:GLC1"/>
    <mergeCell ref="GLD1:GLK1"/>
    <mergeCell ref="GLL1:GLS1"/>
    <mergeCell ref="GIR1:GIY1"/>
    <mergeCell ref="GIZ1:GJG1"/>
    <mergeCell ref="GJH1:GJO1"/>
    <mergeCell ref="GJP1:GJW1"/>
    <mergeCell ref="GJX1:GKE1"/>
    <mergeCell ref="GHD1:GHK1"/>
    <mergeCell ref="GHL1:GHS1"/>
    <mergeCell ref="GHT1:GIA1"/>
    <mergeCell ref="GIB1:GII1"/>
    <mergeCell ref="GIJ1:GIQ1"/>
    <mergeCell ref="GRX1:GSE1"/>
    <mergeCell ref="GSF1:GSM1"/>
    <mergeCell ref="GSN1:GSU1"/>
    <mergeCell ref="GSV1:GTC1"/>
    <mergeCell ref="GTD1:GTK1"/>
    <mergeCell ref="GQJ1:GQQ1"/>
    <mergeCell ref="GQR1:GQY1"/>
    <mergeCell ref="GQZ1:GRG1"/>
    <mergeCell ref="GRH1:GRO1"/>
    <mergeCell ref="GRP1:GRW1"/>
    <mergeCell ref="GOV1:GPC1"/>
    <mergeCell ref="GPD1:GPK1"/>
    <mergeCell ref="GPL1:GPS1"/>
    <mergeCell ref="GPT1:GQA1"/>
    <mergeCell ref="GQB1:GQI1"/>
    <mergeCell ref="GNH1:GNO1"/>
    <mergeCell ref="GNP1:GNW1"/>
    <mergeCell ref="GNX1:GOE1"/>
    <mergeCell ref="GOF1:GOM1"/>
    <mergeCell ref="GON1:GOU1"/>
    <mergeCell ref="GYB1:GYI1"/>
    <mergeCell ref="GYJ1:GYQ1"/>
    <mergeCell ref="GYR1:GYY1"/>
    <mergeCell ref="GYZ1:GZG1"/>
    <mergeCell ref="GZH1:GZO1"/>
    <mergeCell ref="GWN1:GWU1"/>
    <mergeCell ref="GWV1:GXC1"/>
    <mergeCell ref="GXD1:GXK1"/>
    <mergeCell ref="GXL1:GXS1"/>
    <mergeCell ref="GXT1:GYA1"/>
    <mergeCell ref="GUZ1:GVG1"/>
    <mergeCell ref="GVH1:GVO1"/>
    <mergeCell ref="GVP1:GVW1"/>
    <mergeCell ref="GVX1:GWE1"/>
    <mergeCell ref="GWF1:GWM1"/>
    <mergeCell ref="GTL1:GTS1"/>
    <mergeCell ref="GTT1:GUA1"/>
    <mergeCell ref="GUB1:GUI1"/>
    <mergeCell ref="GUJ1:GUQ1"/>
    <mergeCell ref="GUR1:GUY1"/>
    <mergeCell ref="HEF1:HEM1"/>
    <mergeCell ref="HEN1:HEU1"/>
    <mergeCell ref="HEV1:HFC1"/>
    <mergeCell ref="HFD1:HFK1"/>
    <mergeCell ref="HFL1:HFS1"/>
    <mergeCell ref="HCR1:HCY1"/>
    <mergeCell ref="HCZ1:HDG1"/>
    <mergeCell ref="HDH1:HDO1"/>
    <mergeCell ref="HDP1:HDW1"/>
    <mergeCell ref="HDX1:HEE1"/>
    <mergeCell ref="HBD1:HBK1"/>
    <mergeCell ref="HBL1:HBS1"/>
    <mergeCell ref="HBT1:HCA1"/>
    <mergeCell ref="HCB1:HCI1"/>
    <mergeCell ref="HCJ1:HCQ1"/>
    <mergeCell ref="GZP1:GZW1"/>
    <mergeCell ref="GZX1:HAE1"/>
    <mergeCell ref="HAF1:HAM1"/>
    <mergeCell ref="HAN1:HAU1"/>
    <mergeCell ref="HAV1:HBC1"/>
    <mergeCell ref="HKJ1:HKQ1"/>
    <mergeCell ref="HKR1:HKY1"/>
    <mergeCell ref="HKZ1:HLG1"/>
    <mergeCell ref="HLH1:HLO1"/>
    <mergeCell ref="HLP1:HLW1"/>
    <mergeCell ref="HIV1:HJC1"/>
    <mergeCell ref="HJD1:HJK1"/>
    <mergeCell ref="HJL1:HJS1"/>
    <mergeCell ref="HJT1:HKA1"/>
    <mergeCell ref="HKB1:HKI1"/>
    <mergeCell ref="HHH1:HHO1"/>
    <mergeCell ref="HHP1:HHW1"/>
    <mergeCell ref="HHX1:HIE1"/>
    <mergeCell ref="HIF1:HIM1"/>
    <mergeCell ref="HIN1:HIU1"/>
    <mergeCell ref="HFT1:HGA1"/>
    <mergeCell ref="HGB1:HGI1"/>
    <mergeCell ref="HGJ1:HGQ1"/>
    <mergeCell ref="HGR1:HGY1"/>
    <mergeCell ref="HGZ1:HHG1"/>
    <mergeCell ref="HQN1:HQU1"/>
    <mergeCell ref="HQV1:HRC1"/>
    <mergeCell ref="HRD1:HRK1"/>
    <mergeCell ref="HRL1:HRS1"/>
    <mergeCell ref="HRT1:HSA1"/>
    <mergeCell ref="HOZ1:HPG1"/>
    <mergeCell ref="HPH1:HPO1"/>
    <mergeCell ref="HPP1:HPW1"/>
    <mergeCell ref="HPX1:HQE1"/>
    <mergeCell ref="HQF1:HQM1"/>
    <mergeCell ref="HNL1:HNS1"/>
    <mergeCell ref="HNT1:HOA1"/>
    <mergeCell ref="HOB1:HOI1"/>
    <mergeCell ref="HOJ1:HOQ1"/>
    <mergeCell ref="HOR1:HOY1"/>
    <mergeCell ref="HLX1:HME1"/>
    <mergeCell ref="HMF1:HMM1"/>
    <mergeCell ref="HMN1:HMU1"/>
    <mergeCell ref="HMV1:HNC1"/>
    <mergeCell ref="HND1:HNK1"/>
    <mergeCell ref="HWR1:HWY1"/>
    <mergeCell ref="HWZ1:HXG1"/>
    <mergeCell ref="HXH1:HXO1"/>
    <mergeCell ref="HXP1:HXW1"/>
    <mergeCell ref="HXX1:HYE1"/>
    <mergeCell ref="HVD1:HVK1"/>
    <mergeCell ref="HVL1:HVS1"/>
    <mergeCell ref="HVT1:HWA1"/>
    <mergeCell ref="HWB1:HWI1"/>
    <mergeCell ref="HWJ1:HWQ1"/>
    <mergeCell ref="HTP1:HTW1"/>
    <mergeCell ref="HTX1:HUE1"/>
    <mergeCell ref="HUF1:HUM1"/>
    <mergeCell ref="HUN1:HUU1"/>
    <mergeCell ref="HUV1:HVC1"/>
    <mergeCell ref="HSB1:HSI1"/>
    <mergeCell ref="HSJ1:HSQ1"/>
    <mergeCell ref="HSR1:HSY1"/>
    <mergeCell ref="HSZ1:HTG1"/>
    <mergeCell ref="HTH1:HTO1"/>
    <mergeCell ref="ICV1:IDC1"/>
    <mergeCell ref="IDD1:IDK1"/>
    <mergeCell ref="IDL1:IDS1"/>
    <mergeCell ref="IDT1:IEA1"/>
    <mergeCell ref="IEB1:IEI1"/>
    <mergeCell ref="IBH1:IBO1"/>
    <mergeCell ref="IBP1:IBW1"/>
    <mergeCell ref="IBX1:ICE1"/>
    <mergeCell ref="ICF1:ICM1"/>
    <mergeCell ref="ICN1:ICU1"/>
    <mergeCell ref="HZT1:IAA1"/>
    <mergeCell ref="IAB1:IAI1"/>
    <mergeCell ref="IAJ1:IAQ1"/>
    <mergeCell ref="IAR1:IAY1"/>
    <mergeCell ref="IAZ1:IBG1"/>
    <mergeCell ref="HYF1:HYM1"/>
    <mergeCell ref="HYN1:HYU1"/>
    <mergeCell ref="HYV1:HZC1"/>
    <mergeCell ref="HZD1:HZK1"/>
    <mergeCell ref="HZL1:HZS1"/>
    <mergeCell ref="IIZ1:IJG1"/>
    <mergeCell ref="IJH1:IJO1"/>
    <mergeCell ref="IJP1:IJW1"/>
    <mergeCell ref="IJX1:IKE1"/>
    <mergeCell ref="IKF1:IKM1"/>
    <mergeCell ref="IHL1:IHS1"/>
    <mergeCell ref="IHT1:IIA1"/>
    <mergeCell ref="IIB1:III1"/>
    <mergeCell ref="IIJ1:IIQ1"/>
    <mergeCell ref="IIR1:IIY1"/>
    <mergeCell ref="IFX1:IGE1"/>
    <mergeCell ref="IGF1:IGM1"/>
    <mergeCell ref="IGN1:IGU1"/>
    <mergeCell ref="IGV1:IHC1"/>
    <mergeCell ref="IHD1:IHK1"/>
    <mergeCell ref="IEJ1:IEQ1"/>
    <mergeCell ref="IER1:IEY1"/>
    <mergeCell ref="IEZ1:IFG1"/>
    <mergeCell ref="IFH1:IFO1"/>
    <mergeCell ref="IFP1:IFW1"/>
    <mergeCell ref="IPD1:IPK1"/>
    <mergeCell ref="IPL1:IPS1"/>
    <mergeCell ref="IPT1:IQA1"/>
    <mergeCell ref="IQB1:IQI1"/>
    <mergeCell ref="IQJ1:IQQ1"/>
    <mergeCell ref="INP1:INW1"/>
    <mergeCell ref="INX1:IOE1"/>
    <mergeCell ref="IOF1:IOM1"/>
    <mergeCell ref="ION1:IOU1"/>
    <mergeCell ref="IOV1:IPC1"/>
    <mergeCell ref="IMB1:IMI1"/>
    <mergeCell ref="IMJ1:IMQ1"/>
    <mergeCell ref="IMR1:IMY1"/>
    <mergeCell ref="IMZ1:ING1"/>
    <mergeCell ref="INH1:INO1"/>
    <mergeCell ref="IKN1:IKU1"/>
    <mergeCell ref="IKV1:ILC1"/>
    <mergeCell ref="ILD1:ILK1"/>
    <mergeCell ref="ILL1:ILS1"/>
    <mergeCell ref="ILT1:IMA1"/>
    <mergeCell ref="IVH1:IVO1"/>
    <mergeCell ref="IVP1:IVW1"/>
    <mergeCell ref="IVX1:IWE1"/>
    <mergeCell ref="IWF1:IWM1"/>
    <mergeCell ref="IWN1:IWU1"/>
    <mergeCell ref="ITT1:IUA1"/>
    <mergeCell ref="IUB1:IUI1"/>
    <mergeCell ref="IUJ1:IUQ1"/>
    <mergeCell ref="IUR1:IUY1"/>
    <mergeCell ref="IUZ1:IVG1"/>
    <mergeCell ref="ISF1:ISM1"/>
    <mergeCell ref="ISN1:ISU1"/>
    <mergeCell ref="ISV1:ITC1"/>
    <mergeCell ref="ITD1:ITK1"/>
    <mergeCell ref="ITL1:ITS1"/>
    <mergeCell ref="IQR1:IQY1"/>
    <mergeCell ref="IQZ1:IRG1"/>
    <mergeCell ref="IRH1:IRO1"/>
    <mergeCell ref="IRP1:IRW1"/>
    <mergeCell ref="IRX1:ISE1"/>
    <mergeCell ref="JBL1:JBS1"/>
    <mergeCell ref="JBT1:JCA1"/>
    <mergeCell ref="JCB1:JCI1"/>
    <mergeCell ref="JCJ1:JCQ1"/>
    <mergeCell ref="JCR1:JCY1"/>
    <mergeCell ref="IZX1:JAE1"/>
    <mergeCell ref="JAF1:JAM1"/>
    <mergeCell ref="JAN1:JAU1"/>
    <mergeCell ref="JAV1:JBC1"/>
    <mergeCell ref="JBD1:JBK1"/>
    <mergeCell ref="IYJ1:IYQ1"/>
    <mergeCell ref="IYR1:IYY1"/>
    <mergeCell ref="IYZ1:IZG1"/>
    <mergeCell ref="IZH1:IZO1"/>
    <mergeCell ref="IZP1:IZW1"/>
    <mergeCell ref="IWV1:IXC1"/>
    <mergeCell ref="IXD1:IXK1"/>
    <mergeCell ref="IXL1:IXS1"/>
    <mergeCell ref="IXT1:IYA1"/>
    <mergeCell ref="IYB1:IYI1"/>
    <mergeCell ref="JHP1:JHW1"/>
    <mergeCell ref="JHX1:JIE1"/>
    <mergeCell ref="JIF1:JIM1"/>
    <mergeCell ref="JIN1:JIU1"/>
    <mergeCell ref="JIV1:JJC1"/>
    <mergeCell ref="JGB1:JGI1"/>
    <mergeCell ref="JGJ1:JGQ1"/>
    <mergeCell ref="JGR1:JGY1"/>
    <mergeCell ref="JGZ1:JHG1"/>
    <mergeCell ref="JHH1:JHO1"/>
    <mergeCell ref="JEN1:JEU1"/>
    <mergeCell ref="JEV1:JFC1"/>
    <mergeCell ref="JFD1:JFK1"/>
    <mergeCell ref="JFL1:JFS1"/>
    <mergeCell ref="JFT1:JGA1"/>
    <mergeCell ref="JCZ1:JDG1"/>
    <mergeCell ref="JDH1:JDO1"/>
    <mergeCell ref="JDP1:JDW1"/>
    <mergeCell ref="JDX1:JEE1"/>
    <mergeCell ref="JEF1:JEM1"/>
    <mergeCell ref="JNT1:JOA1"/>
    <mergeCell ref="JOB1:JOI1"/>
    <mergeCell ref="JOJ1:JOQ1"/>
    <mergeCell ref="JOR1:JOY1"/>
    <mergeCell ref="JOZ1:JPG1"/>
    <mergeCell ref="JMF1:JMM1"/>
    <mergeCell ref="JMN1:JMU1"/>
    <mergeCell ref="JMV1:JNC1"/>
    <mergeCell ref="JND1:JNK1"/>
    <mergeCell ref="JNL1:JNS1"/>
    <mergeCell ref="JKR1:JKY1"/>
    <mergeCell ref="JKZ1:JLG1"/>
    <mergeCell ref="JLH1:JLO1"/>
    <mergeCell ref="JLP1:JLW1"/>
    <mergeCell ref="JLX1:JME1"/>
    <mergeCell ref="JJD1:JJK1"/>
    <mergeCell ref="JJL1:JJS1"/>
    <mergeCell ref="JJT1:JKA1"/>
    <mergeCell ref="JKB1:JKI1"/>
    <mergeCell ref="JKJ1:JKQ1"/>
    <mergeCell ref="JTX1:JUE1"/>
    <mergeCell ref="JUF1:JUM1"/>
    <mergeCell ref="JUN1:JUU1"/>
    <mergeCell ref="JUV1:JVC1"/>
    <mergeCell ref="JVD1:JVK1"/>
    <mergeCell ref="JSJ1:JSQ1"/>
    <mergeCell ref="JSR1:JSY1"/>
    <mergeCell ref="JSZ1:JTG1"/>
    <mergeCell ref="JTH1:JTO1"/>
    <mergeCell ref="JTP1:JTW1"/>
    <mergeCell ref="JQV1:JRC1"/>
    <mergeCell ref="JRD1:JRK1"/>
    <mergeCell ref="JRL1:JRS1"/>
    <mergeCell ref="JRT1:JSA1"/>
    <mergeCell ref="JSB1:JSI1"/>
    <mergeCell ref="JPH1:JPO1"/>
    <mergeCell ref="JPP1:JPW1"/>
    <mergeCell ref="JPX1:JQE1"/>
    <mergeCell ref="JQF1:JQM1"/>
    <mergeCell ref="JQN1:JQU1"/>
    <mergeCell ref="KAB1:KAI1"/>
    <mergeCell ref="KAJ1:KAQ1"/>
    <mergeCell ref="KAR1:KAY1"/>
    <mergeCell ref="KAZ1:KBG1"/>
    <mergeCell ref="KBH1:KBO1"/>
    <mergeCell ref="JYN1:JYU1"/>
    <mergeCell ref="JYV1:JZC1"/>
    <mergeCell ref="JZD1:JZK1"/>
    <mergeCell ref="JZL1:JZS1"/>
    <mergeCell ref="JZT1:KAA1"/>
    <mergeCell ref="JWZ1:JXG1"/>
    <mergeCell ref="JXH1:JXO1"/>
    <mergeCell ref="JXP1:JXW1"/>
    <mergeCell ref="JXX1:JYE1"/>
    <mergeCell ref="JYF1:JYM1"/>
    <mergeCell ref="JVL1:JVS1"/>
    <mergeCell ref="JVT1:JWA1"/>
    <mergeCell ref="JWB1:JWI1"/>
    <mergeCell ref="JWJ1:JWQ1"/>
    <mergeCell ref="JWR1:JWY1"/>
    <mergeCell ref="KGF1:KGM1"/>
    <mergeCell ref="KGN1:KGU1"/>
    <mergeCell ref="KGV1:KHC1"/>
    <mergeCell ref="KHD1:KHK1"/>
    <mergeCell ref="KHL1:KHS1"/>
    <mergeCell ref="KER1:KEY1"/>
    <mergeCell ref="KEZ1:KFG1"/>
    <mergeCell ref="KFH1:KFO1"/>
    <mergeCell ref="KFP1:KFW1"/>
    <mergeCell ref="KFX1:KGE1"/>
    <mergeCell ref="KDD1:KDK1"/>
    <mergeCell ref="KDL1:KDS1"/>
    <mergeCell ref="KDT1:KEA1"/>
    <mergeCell ref="KEB1:KEI1"/>
    <mergeCell ref="KEJ1:KEQ1"/>
    <mergeCell ref="KBP1:KBW1"/>
    <mergeCell ref="KBX1:KCE1"/>
    <mergeCell ref="KCF1:KCM1"/>
    <mergeCell ref="KCN1:KCU1"/>
    <mergeCell ref="KCV1:KDC1"/>
    <mergeCell ref="KMJ1:KMQ1"/>
    <mergeCell ref="KMR1:KMY1"/>
    <mergeCell ref="KMZ1:KNG1"/>
    <mergeCell ref="KNH1:KNO1"/>
    <mergeCell ref="KNP1:KNW1"/>
    <mergeCell ref="KKV1:KLC1"/>
    <mergeCell ref="KLD1:KLK1"/>
    <mergeCell ref="KLL1:KLS1"/>
    <mergeCell ref="KLT1:KMA1"/>
    <mergeCell ref="KMB1:KMI1"/>
    <mergeCell ref="KJH1:KJO1"/>
    <mergeCell ref="KJP1:KJW1"/>
    <mergeCell ref="KJX1:KKE1"/>
    <mergeCell ref="KKF1:KKM1"/>
    <mergeCell ref="KKN1:KKU1"/>
    <mergeCell ref="KHT1:KIA1"/>
    <mergeCell ref="KIB1:KII1"/>
    <mergeCell ref="KIJ1:KIQ1"/>
    <mergeCell ref="KIR1:KIY1"/>
    <mergeCell ref="KIZ1:KJG1"/>
    <mergeCell ref="KSN1:KSU1"/>
    <mergeCell ref="KSV1:KTC1"/>
    <mergeCell ref="KTD1:KTK1"/>
    <mergeCell ref="KTL1:KTS1"/>
    <mergeCell ref="KTT1:KUA1"/>
    <mergeCell ref="KQZ1:KRG1"/>
    <mergeCell ref="KRH1:KRO1"/>
    <mergeCell ref="KRP1:KRW1"/>
    <mergeCell ref="KRX1:KSE1"/>
    <mergeCell ref="KSF1:KSM1"/>
    <mergeCell ref="KPL1:KPS1"/>
    <mergeCell ref="KPT1:KQA1"/>
    <mergeCell ref="KQB1:KQI1"/>
    <mergeCell ref="KQJ1:KQQ1"/>
    <mergeCell ref="KQR1:KQY1"/>
    <mergeCell ref="KNX1:KOE1"/>
    <mergeCell ref="KOF1:KOM1"/>
    <mergeCell ref="KON1:KOU1"/>
    <mergeCell ref="KOV1:KPC1"/>
    <mergeCell ref="KPD1:KPK1"/>
    <mergeCell ref="KYR1:KYY1"/>
    <mergeCell ref="KYZ1:KZG1"/>
    <mergeCell ref="KZH1:KZO1"/>
    <mergeCell ref="KZP1:KZW1"/>
    <mergeCell ref="KZX1:LAE1"/>
    <mergeCell ref="KXD1:KXK1"/>
    <mergeCell ref="KXL1:KXS1"/>
    <mergeCell ref="KXT1:KYA1"/>
    <mergeCell ref="KYB1:KYI1"/>
    <mergeCell ref="KYJ1:KYQ1"/>
    <mergeCell ref="KVP1:KVW1"/>
    <mergeCell ref="KVX1:KWE1"/>
    <mergeCell ref="KWF1:KWM1"/>
    <mergeCell ref="KWN1:KWU1"/>
    <mergeCell ref="KWV1:KXC1"/>
    <mergeCell ref="KUB1:KUI1"/>
    <mergeCell ref="KUJ1:KUQ1"/>
    <mergeCell ref="KUR1:KUY1"/>
    <mergeCell ref="KUZ1:KVG1"/>
    <mergeCell ref="KVH1:KVO1"/>
    <mergeCell ref="LEV1:LFC1"/>
    <mergeCell ref="LFD1:LFK1"/>
    <mergeCell ref="LFL1:LFS1"/>
    <mergeCell ref="LFT1:LGA1"/>
    <mergeCell ref="LGB1:LGI1"/>
    <mergeCell ref="LDH1:LDO1"/>
    <mergeCell ref="LDP1:LDW1"/>
    <mergeCell ref="LDX1:LEE1"/>
    <mergeCell ref="LEF1:LEM1"/>
    <mergeCell ref="LEN1:LEU1"/>
    <mergeCell ref="LBT1:LCA1"/>
    <mergeCell ref="LCB1:LCI1"/>
    <mergeCell ref="LCJ1:LCQ1"/>
    <mergeCell ref="LCR1:LCY1"/>
    <mergeCell ref="LCZ1:LDG1"/>
    <mergeCell ref="LAF1:LAM1"/>
    <mergeCell ref="LAN1:LAU1"/>
    <mergeCell ref="LAV1:LBC1"/>
    <mergeCell ref="LBD1:LBK1"/>
    <mergeCell ref="LBL1:LBS1"/>
    <mergeCell ref="LKZ1:LLG1"/>
    <mergeCell ref="LLH1:LLO1"/>
    <mergeCell ref="LLP1:LLW1"/>
    <mergeCell ref="LLX1:LME1"/>
    <mergeCell ref="LMF1:LMM1"/>
    <mergeCell ref="LJL1:LJS1"/>
    <mergeCell ref="LJT1:LKA1"/>
    <mergeCell ref="LKB1:LKI1"/>
    <mergeCell ref="LKJ1:LKQ1"/>
    <mergeCell ref="LKR1:LKY1"/>
    <mergeCell ref="LHX1:LIE1"/>
    <mergeCell ref="LIF1:LIM1"/>
    <mergeCell ref="LIN1:LIU1"/>
    <mergeCell ref="LIV1:LJC1"/>
    <mergeCell ref="LJD1:LJK1"/>
    <mergeCell ref="LGJ1:LGQ1"/>
    <mergeCell ref="LGR1:LGY1"/>
    <mergeCell ref="LGZ1:LHG1"/>
    <mergeCell ref="LHH1:LHO1"/>
    <mergeCell ref="LHP1:LHW1"/>
    <mergeCell ref="LRD1:LRK1"/>
    <mergeCell ref="LRL1:LRS1"/>
    <mergeCell ref="LRT1:LSA1"/>
    <mergeCell ref="LSB1:LSI1"/>
    <mergeCell ref="LSJ1:LSQ1"/>
    <mergeCell ref="LPP1:LPW1"/>
    <mergeCell ref="LPX1:LQE1"/>
    <mergeCell ref="LQF1:LQM1"/>
    <mergeCell ref="LQN1:LQU1"/>
    <mergeCell ref="LQV1:LRC1"/>
    <mergeCell ref="LOB1:LOI1"/>
    <mergeCell ref="LOJ1:LOQ1"/>
    <mergeCell ref="LOR1:LOY1"/>
    <mergeCell ref="LOZ1:LPG1"/>
    <mergeCell ref="LPH1:LPO1"/>
    <mergeCell ref="LMN1:LMU1"/>
    <mergeCell ref="LMV1:LNC1"/>
    <mergeCell ref="LND1:LNK1"/>
    <mergeCell ref="LNL1:LNS1"/>
    <mergeCell ref="LNT1:LOA1"/>
    <mergeCell ref="LXH1:LXO1"/>
    <mergeCell ref="LXP1:LXW1"/>
    <mergeCell ref="LXX1:LYE1"/>
    <mergeCell ref="LYF1:LYM1"/>
    <mergeCell ref="LYN1:LYU1"/>
    <mergeCell ref="LVT1:LWA1"/>
    <mergeCell ref="LWB1:LWI1"/>
    <mergeCell ref="LWJ1:LWQ1"/>
    <mergeCell ref="LWR1:LWY1"/>
    <mergeCell ref="LWZ1:LXG1"/>
    <mergeCell ref="LUF1:LUM1"/>
    <mergeCell ref="LUN1:LUU1"/>
    <mergeCell ref="LUV1:LVC1"/>
    <mergeCell ref="LVD1:LVK1"/>
    <mergeCell ref="LVL1:LVS1"/>
    <mergeCell ref="LSR1:LSY1"/>
    <mergeCell ref="LSZ1:LTG1"/>
    <mergeCell ref="LTH1:LTO1"/>
    <mergeCell ref="LTP1:LTW1"/>
    <mergeCell ref="LTX1:LUE1"/>
    <mergeCell ref="MDL1:MDS1"/>
    <mergeCell ref="MDT1:MEA1"/>
    <mergeCell ref="MEB1:MEI1"/>
    <mergeCell ref="MEJ1:MEQ1"/>
    <mergeCell ref="MER1:MEY1"/>
    <mergeCell ref="MBX1:MCE1"/>
    <mergeCell ref="MCF1:MCM1"/>
    <mergeCell ref="MCN1:MCU1"/>
    <mergeCell ref="MCV1:MDC1"/>
    <mergeCell ref="MDD1:MDK1"/>
    <mergeCell ref="MAJ1:MAQ1"/>
    <mergeCell ref="MAR1:MAY1"/>
    <mergeCell ref="MAZ1:MBG1"/>
    <mergeCell ref="MBH1:MBO1"/>
    <mergeCell ref="MBP1:MBW1"/>
    <mergeCell ref="LYV1:LZC1"/>
    <mergeCell ref="LZD1:LZK1"/>
    <mergeCell ref="LZL1:LZS1"/>
    <mergeCell ref="LZT1:MAA1"/>
    <mergeCell ref="MAB1:MAI1"/>
    <mergeCell ref="MJP1:MJW1"/>
    <mergeCell ref="MJX1:MKE1"/>
    <mergeCell ref="MKF1:MKM1"/>
    <mergeCell ref="MKN1:MKU1"/>
    <mergeCell ref="MKV1:MLC1"/>
    <mergeCell ref="MIB1:MII1"/>
    <mergeCell ref="MIJ1:MIQ1"/>
    <mergeCell ref="MIR1:MIY1"/>
    <mergeCell ref="MIZ1:MJG1"/>
    <mergeCell ref="MJH1:MJO1"/>
    <mergeCell ref="MGN1:MGU1"/>
    <mergeCell ref="MGV1:MHC1"/>
    <mergeCell ref="MHD1:MHK1"/>
    <mergeCell ref="MHL1:MHS1"/>
    <mergeCell ref="MHT1:MIA1"/>
    <mergeCell ref="MEZ1:MFG1"/>
    <mergeCell ref="MFH1:MFO1"/>
    <mergeCell ref="MFP1:MFW1"/>
    <mergeCell ref="MFX1:MGE1"/>
    <mergeCell ref="MGF1:MGM1"/>
    <mergeCell ref="MPT1:MQA1"/>
    <mergeCell ref="MQB1:MQI1"/>
    <mergeCell ref="MQJ1:MQQ1"/>
    <mergeCell ref="MQR1:MQY1"/>
    <mergeCell ref="MQZ1:MRG1"/>
    <mergeCell ref="MOF1:MOM1"/>
    <mergeCell ref="MON1:MOU1"/>
    <mergeCell ref="MOV1:MPC1"/>
    <mergeCell ref="MPD1:MPK1"/>
    <mergeCell ref="MPL1:MPS1"/>
    <mergeCell ref="MMR1:MMY1"/>
    <mergeCell ref="MMZ1:MNG1"/>
    <mergeCell ref="MNH1:MNO1"/>
    <mergeCell ref="MNP1:MNW1"/>
    <mergeCell ref="MNX1:MOE1"/>
    <mergeCell ref="MLD1:MLK1"/>
    <mergeCell ref="MLL1:MLS1"/>
    <mergeCell ref="MLT1:MMA1"/>
    <mergeCell ref="MMB1:MMI1"/>
    <mergeCell ref="MMJ1:MMQ1"/>
    <mergeCell ref="MVX1:MWE1"/>
    <mergeCell ref="MWF1:MWM1"/>
    <mergeCell ref="MWN1:MWU1"/>
    <mergeCell ref="MWV1:MXC1"/>
    <mergeCell ref="MXD1:MXK1"/>
    <mergeCell ref="MUJ1:MUQ1"/>
    <mergeCell ref="MUR1:MUY1"/>
    <mergeCell ref="MUZ1:MVG1"/>
    <mergeCell ref="MVH1:MVO1"/>
    <mergeCell ref="MVP1:MVW1"/>
    <mergeCell ref="MSV1:MTC1"/>
    <mergeCell ref="MTD1:MTK1"/>
    <mergeCell ref="MTL1:MTS1"/>
    <mergeCell ref="MTT1:MUA1"/>
    <mergeCell ref="MUB1:MUI1"/>
    <mergeCell ref="MRH1:MRO1"/>
    <mergeCell ref="MRP1:MRW1"/>
    <mergeCell ref="MRX1:MSE1"/>
    <mergeCell ref="MSF1:MSM1"/>
    <mergeCell ref="MSN1:MSU1"/>
    <mergeCell ref="NCB1:NCI1"/>
    <mergeCell ref="NCJ1:NCQ1"/>
    <mergeCell ref="NCR1:NCY1"/>
    <mergeCell ref="NCZ1:NDG1"/>
    <mergeCell ref="NDH1:NDO1"/>
    <mergeCell ref="NAN1:NAU1"/>
    <mergeCell ref="NAV1:NBC1"/>
    <mergeCell ref="NBD1:NBK1"/>
    <mergeCell ref="NBL1:NBS1"/>
    <mergeCell ref="NBT1:NCA1"/>
    <mergeCell ref="MYZ1:MZG1"/>
    <mergeCell ref="MZH1:MZO1"/>
    <mergeCell ref="MZP1:MZW1"/>
    <mergeCell ref="MZX1:NAE1"/>
    <mergeCell ref="NAF1:NAM1"/>
    <mergeCell ref="MXL1:MXS1"/>
    <mergeCell ref="MXT1:MYA1"/>
    <mergeCell ref="MYB1:MYI1"/>
    <mergeCell ref="MYJ1:MYQ1"/>
    <mergeCell ref="MYR1:MYY1"/>
    <mergeCell ref="NIF1:NIM1"/>
    <mergeCell ref="NIN1:NIU1"/>
    <mergeCell ref="NIV1:NJC1"/>
    <mergeCell ref="NJD1:NJK1"/>
    <mergeCell ref="NJL1:NJS1"/>
    <mergeCell ref="NGR1:NGY1"/>
    <mergeCell ref="NGZ1:NHG1"/>
    <mergeCell ref="NHH1:NHO1"/>
    <mergeCell ref="NHP1:NHW1"/>
    <mergeCell ref="NHX1:NIE1"/>
    <mergeCell ref="NFD1:NFK1"/>
    <mergeCell ref="NFL1:NFS1"/>
    <mergeCell ref="NFT1:NGA1"/>
    <mergeCell ref="NGB1:NGI1"/>
    <mergeCell ref="NGJ1:NGQ1"/>
    <mergeCell ref="NDP1:NDW1"/>
    <mergeCell ref="NDX1:NEE1"/>
    <mergeCell ref="NEF1:NEM1"/>
    <mergeCell ref="NEN1:NEU1"/>
    <mergeCell ref="NEV1:NFC1"/>
    <mergeCell ref="NOJ1:NOQ1"/>
    <mergeCell ref="NOR1:NOY1"/>
    <mergeCell ref="NOZ1:NPG1"/>
    <mergeCell ref="NPH1:NPO1"/>
    <mergeCell ref="NPP1:NPW1"/>
    <mergeCell ref="NMV1:NNC1"/>
    <mergeCell ref="NND1:NNK1"/>
    <mergeCell ref="NNL1:NNS1"/>
    <mergeCell ref="NNT1:NOA1"/>
    <mergeCell ref="NOB1:NOI1"/>
    <mergeCell ref="NLH1:NLO1"/>
    <mergeCell ref="NLP1:NLW1"/>
    <mergeCell ref="NLX1:NME1"/>
    <mergeCell ref="NMF1:NMM1"/>
    <mergeCell ref="NMN1:NMU1"/>
    <mergeCell ref="NJT1:NKA1"/>
    <mergeCell ref="NKB1:NKI1"/>
    <mergeCell ref="NKJ1:NKQ1"/>
    <mergeCell ref="NKR1:NKY1"/>
    <mergeCell ref="NKZ1:NLG1"/>
    <mergeCell ref="NUN1:NUU1"/>
    <mergeCell ref="NUV1:NVC1"/>
    <mergeCell ref="NVD1:NVK1"/>
    <mergeCell ref="NVL1:NVS1"/>
    <mergeCell ref="NVT1:NWA1"/>
    <mergeCell ref="NSZ1:NTG1"/>
    <mergeCell ref="NTH1:NTO1"/>
    <mergeCell ref="NTP1:NTW1"/>
    <mergeCell ref="NTX1:NUE1"/>
    <mergeCell ref="NUF1:NUM1"/>
    <mergeCell ref="NRL1:NRS1"/>
    <mergeCell ref="NRT1:NSA1"/>
    <mergeCell ref="NSB1:NSI1"/>
    <mergeCell ref="NSJ1:NSQ1"/>
    <mergeCell ref="NSR1:NSY1"/>
    <mergeCell ref="NPX1:NQE1"/>
    <mergeCell ref="NQF1:NQM1"/>
    <mergeCell ref="NQN1:NQU1"/>
    <mergeCell ref="NQV1:NRC1"/>
    <mergeCell ref="NRD1:NRK1"/>
    <mergeCell ref="OAR1:OAY1"/>
    <mergeCell ref="OAZ1:OBG1"/>
    <mergeCell ref="OBH1:OBO1"/>
    <mergeCell ref="OBP1:OBW1"/>
    <mergeCell ref="OBX1:OCE1"/>
    <mergeCell ref="NZD1:NZK1"/>
    <mergeCell ref="NZL1:NZS1"/>
    <mergeCell ref="NZT1:OAA1"/>
    <mergeCell ref="OAB1:OAI1"/>
    <mergeCell ref="OAJ1:OAQ1"/>
    <mergeCell ref="NXP1:NXW1"/>
    <mergeCell ref="NXX1:NYE1"/>
    <mergeCell ref="NYF1:NYM1"/>
    <mergeCell ref="NYN1:NYU1"/>
    <mergeCell ref="NYV1:NZC1"/>
    <mergeCell ref="NWB1:NWI1"/>
    <mergeCell ref="NWJ1:NWQ1"/>
    <mergeCell ref="NWR1:NWY1"/>
    <mergeCell ref="NWZ1:NXG1"/>
    <mergeCell ref="NXH1:NXO1"/>
    <mergeCell ref="OGV1:OHC1"/>
    <mergeCell ref="OHD1:OHK1"/>
    <mergeCell ref="OHL1:OHS1"/>
    <mergeCell ref="OHT1:OIA1"/>
    <mergeCell ref="OIB1:OII1"/>
    <mergeCell ref="OFH1:OFO1"/>
    <mergeCell ref="OFP1:OFW1"/>
    <mergeCell ref="OFX1:OGE1"/>
    <mergeCell ref="OGF1:OGM1"/>
    <mergeCell ref="OGN1:OGU1"/>
    <mergeCell ref="ODT1:OEA1"/>
    <mergeCell ref="OEB1:OEI1"/>
    <mergeCell ref="OEJ1:OEQ1"/>
    <mergeCell ref="OER1:OEY1"/>
    <mergeCell ref="OEZ1:OFG1"/>
    <mergeCell ref="OCF1:OCM1"/>
    <mergeCell ref="OCN1:OCU1"/>
    <mergeCell ref="OCV1:ODC1"/>
    <mergeCell ref="ODD1:ODK1"/>
    <mergeCell ref="ODL1:ODS1"/>
    <mergeCell ref="OMZ1:ONG1"/>
    <mergeCell ref="ONH1:ONO1"/>
    <mergeCell ref="ONP1:ONW1"/>
    <mergeCell ref="ONX1:OOE1"/>
    <mergeCell ref="OOF1:OOM1"/>
    <mergeCell ref="OLL1:OLS1"/>
    <mergeCell ref="OLT1:OMA1"/>
    <mergeCell ref="OMB1:OMI1"/>
    <mergeCell ref="OMJ1:OMQ1"/>
    <mergeCell ref="OMR1:OMY1"/>
    <mergeCell ref="OJX1:OKE1"/>
    <mergeCell ref="OKF1:OKM1"/>
    <mergeCell ref="OKN1:OKU1"/>
    <mergeCell ref="OKV1:OLC1"/>
    <mergeCell ref="OLD1:OLK1"/>
    <mergeCell ref="OIJ1:OIQ1"/>
    <mergeCell ref="OIR1:OIY1"/>
    <mergeCell ref="OIZ1:OJG1"/>
    <mergeCell ref="OJH1:OJO1"/>
    <mergeCell ref="OJP1:OJW1"/>
    <mergeCell ref="OTD1:OTK1"/>
    <mergeCell ref="OTL1:OTS1"/>
    <mergeCell ref="OTT1:OUA1"/>
    <mergeCell ref="OUB1:OUI1"/>
    <mergeCell ref="OUJ1:OUQ1"/>
    <mergeCell ref="ORP1:ORW1"/>
    <mergeCell ref="ORX1:OSE1"/>
    <mergeCell ref="OSF1:OSM1"/>
    <mergeCell ref="OSN1:OSU1"/>
    <mergeCell ref="OSV1:OTC1"/>
    <mergeCell ref="OQB1:OQI1"/>
    <mergeCell ref="OQJ1:OQQ1"/>
    <mergeCell ref="OQR1:OQY1"/>
    <mergeCell ref="OQZ1:ORG1"/>
    <mergeCell ref="ORH1:ORO1"/>
    <mergeCell ref="OON1:OOU1"/>
    <mergeCell ref="OOV1:OPC1"/>
    <mergeCell ref="OPD1:OPK1"/>
    <mergeCell ref="OPL1:OPS1"/>
    <mergeCell ref="OPT1:OQA1"/>
    <mergeCell ref="OZH1:OZO1"/>
    <mergeCell ref="OZP1:OZW1"/>
    <mergeCell ref="OZX1:PAE1"/>
    <mergeCell ref="PAF1:PAM1"/>
    <mergeCell ref="PAN1:PAU1"/>
    <mergeCell ref="OXT1:OYA1"/>
    <mergeCell ref="OYB1:OYI1"/>
    <mergeCell ref="OYJ1:OYQ1"/>
    <mergeCell ref="OYR1:OYY1"/>
    <mergeCell ref="OYZ1:OZG1"/>
    <mergeCell ref="OWF1:OWM1"/>
    <mergeCell ref="OWN1:OWU1"/>
    <mergeCell ref="OWV1:OXC1"/>
    <mergeCell ref="OXD1:OXK1"/>
    <mergeCell ref="OXL1:OXS1"/>
    <mergeCell ref="OUR1:OUY1"/>
    <mergeCell ref="OUZ1:OVG1"/>
    <mergeCell ref="OVH1:OVO1"/>
    <mergeCell ref="OVP1:OVW1"/>
    <mergeCell ref="OVX1:OWE1"/>
    <mergeCell ref="PFL1:PFS1"/>
    <mergeCell ref="PFT1:PGA1"/>
    <mergeCell ref="PGB1:PGI1"/>
    <mergeCell ref="PGJ1:PGQ1"/>
    <mergeCell ref="PGR1:PGY1"/>
    <mergeCell ref="PDX1:PEE1"/>
    <mergeCell ref="PEF1:PEM1"/>
    <mergeCell ref="PEN1:PEU1"/>
    <mergeCell ref="PEV1:PFC1"/>
    <mergeCell ref="PFD1:PFK1"/>
    <mergeCell ref="PCJ1:PCQ1"/>
    <mergeCell ref="PCR1:PCY1"/>
    <mergeCell ref="PCZ1:PDG1"/>
    <mergeCell ref="PDH1:PDO1"/>
    <mergeCell ref="PDP1:PDW1"/>
    <mergeCell ref="PAV1:PBC1"/>
    <mergeCell ref="PBD1:PBK1"/>
    <mergeCell ref="PBL1:PBS1"/>
    <mergeCell ref="PBT1:PCA1"/>
    <mergeCell ref="PCB1:PCI1"/>
    <mergeCell ref="PLP1:PLW1"/>
    <mergeCell ref="PLX1:PME1"/>
    <mergeCell ref="PMF1:PMM1"/>
    <mergeCell ref="PMN1:PMU1"/>
    <mergeCell ref="PMV1:PNC1"/>
    <mergeCell ref="PKB1:PKI1"/>
    <mergeCell ref="PKJ1:PKQ1"/>
    <mergeCell ref="PKR1:PKY1"/>
    <mergeCell ref="PKZ1:PLG1"/>
    <mergeCell ref="PLH1:PLO1"/>
    <mergeCell ref="PIN1:PIU1"/>
    <mergeCell ref="PIV1:PJC1"/>
    <mergeCell ref="PJD1:PJK1"/>
    <mergeCell ref="PJL1:PJS1"/>
    <mergeCell ref="PJT1:PKA1"/>
    <mergeCell ref="PGZ1:PHG1"/>
    <mergeCell ref="PHH1:PHO1"/>
    <mergeCell ref="PHP1:PHW1"/>
    <mergeCell ref="PHX1:PIE1"/>
    <mergeCell ref="PIF1:PIM1"/>
    <mergeCell ref="PRT1:PSA1"/>
    <mergeCell ref="PSB1:PSI1"/>
    <mergeCell ref="PSJ1:PSQ1"/>
    <mergeCell ref="PSR1:PSY1"/>
    <mergeCell ref="PSZ1:PTG1"/>
    <mergeCell ref="PQF1:PQM1"/>
    <mergeCell ref="PQN1:PQU1"/>
    <mergeCell ref="PQV1:PRC1"/>
    <mergeCell ref="PRD1:PRK1"/>
    <mergeCell ref="PRL1:PRS1"/>
    <mergeCell ref="POR1:POY1"/>
    <mergeCell ref="POZ1:PPG1"/>
    <mergeCell ref="PPH1:PPO1"/>
    <mergeCell ref="PPP1:PPW1"/>
    <mergeCell ref="PPX1:PQE1"/>
    <mergeCell ref="PND1:PNK1"/>
    <mergeCell ref="PNL1:PNS1"/>
    <mergeCell ref="PNT1:POA1"/>
    <mergeCell ref="POB1:POI1"/>
    <mergeCell ref="POJ1:POQ1"/>
    <mergeCell ref="PXX1:PYE1"/>
    <mergeCell ref="PYF1:PYM1"/>
    <mergeCell ref="PYN1:PYU1"/>
    <mergeCell ref="PYV1:PZC1"/>
    <mergeCell ref="PZD1:PZK1"/>
    <mergeCell ref="PWJ1:PWQ1"/>
    <mergeCell ref="PWR1:PWY1"/>
    <mergeCell ref="PWZ1:PXG1"/>
    <mergeCell ref="PXH1:PXO1"/>
    <mergeCell ref="PXP1:PXW1"/>
    <mergeCell ref="PUV1:PVC1"/>
    <mergeCell ref="PVD1:PVK1"/>
    <mergeCell ref="PVL1:PVS1"/>
    <mergeCell ref="PVT1:PWA1"/>
    <mergeCell ref="PWB1:PWI1"/>
    <mergeCell ref="PTH1:PTO1"/>
    <mergeCell ref="PTP1:PTW1"/>
    <mergeCell ref="PTX1:PUE1"/>
    <mergeCell ref="PUF1:PUM1"/>
    <mergeCell ref="PUN1:PUU1"/>
    <mergeCell ref="QEB1:QEI1"/>
    <mergeCell ref="QEJ1:QEQ1"/>
    <mergeCell ref="QER1:QEY1"/>
    <mergeCell ref="QEZ1:QFG1"/>
    <mergeCell ref="QFH1:QFO1"/>
    <mergeCell ref="QCN1:QCU1"/>
    <mergeCell ref="QCV1:QDC1"/>
    <mergeCell ref="QDD1:QDK1"/>
    <mergeCell ref="QDL1:QDS1"/>
    <mergeCell ref="QDT1:QEA1"/>
    <mergeCell ref="QAZ1:QBG1"/>
    <mergeCell ref="QBH1:QBO1"/>
    <mergeCell ref="QBP1:QBW1"/>
    <mergeCell ref="QBX1:QCE1"/>
    <mergeCell ref="QCF1:QCM1"/>
    <mergeCell ref="PZL1:PZS1"/>
    <mergeCell ref="PZT1:QAA1"/>
    <mergeCell ref="QAB1:QAI1"/>
    <mergeCell ref="QAJ1:QAQ1"/>
    <mergeCell ref="QAR1:QAY1"/>
    <mergeCell ref="QKF1:QKM1"/>
    <mergeCell ref="QKN1:QKU1"/>
    <mergeCell ref="QKV1:QLC1"/>
    <mergeCell ref="QLD1:QLK1"/>
    <mergeCell ref="QLL1:QLS1"/>
    <mergeCell ref="QIR1:QIY1"/>
    <mergeCell ref="QIZ1:QJG1"/>
    <mergeCell ref="QJH1:QJO1"/>
    <mergeCell ref="QJP1:QJW1"/>
    <mergeCell ref="QJX1:QKE1"/>
    <mergeCell ref="QHD1:QHK1"/>
    <mergeCell ref="QHL1:QHS1"/>
    <mergeCell ref="QHT1:QIA1"/>
    <mergeCell ref="QIB1:QII1"/>
    <mergeCell ref="QIJ1:QIQ1"/>
    <mergeCell ref="QFP1:QFW1"/>
    <mergeCell ref="QFX1:QGE1"/>
    <mergeCell ref="QGF1:QGM1"/>
    <mergeCell ref="QGN1:QGU1"/>
    <mergeCell ref="QGV1:QHC1"/>
    <mergeCell ref="QQJ1:QQQ1"/>
    <mergeCell ref="QQR1:QQY1"/>
    <mergeCell ref="QQZ1:QRG1"/>
    <mergeCell ref="QRH1:QRO1"/>
    <mergeCell ref="QRP1:QRW1"/>
    <mergeCell ref="QOV1:QPC1"/>
    <mergeCell ref="QPD1:QPK1"/>
    <mergeCell ref="QPL1:QPS1"/>
    <mergeCell ref="QPT1:QQA1"/>
    <mergeCell ref="QQB1:QQI1"/>
    <mergeCell ref="QNH1:QNO1"/>
    <mergeCell ref="QNP1:QNW1"/>
    <mergeCell ref="QNX1:QOE1"/>
    <mergeCell ref="QOF1:QOM1"/>
    <mergeCell ref="QON1:QOU1"/>
    <mergeCell ref="QLT1:QMA1"/>
    <mergeCell ref="QMB1:QMI1"/>
    <mergeCell ref="QMJ1:QMQ1"/>
    <mergeCell ref="QMR1:QMY1"/>
    <mergeCell ref="QMZ1:QNG1"/>
    <mergeCell ref="QWN1:QWU1"/>
    <mergeCell ref="QWV1:QXC1"/>
    <mergeCell ref="QXD1:QXK1"/>
    <mergeCell ref="QXL1:QXS1"/>
    <mergeCell ref="QXT1:QYA1"/>
    <mergeCell ref="QUZ1:QVG1"/>
    <mergeCell ref="QVH1:QVO1"/>
    <mergeCell ref="QVP1:QVW1"/>
    <mergeCell ref="QVX1:QWE1"/>
    <mergeCell ref="QWF1:QWM1"/>
    <mergeCell ref="QTL1:QTS1"/>
    <mergeCell ref="QTT1:QUA1"/>
    <mergeCell ref="QUB1:QUI1"/>
    <mergeCell ref="QUJ1:QUQ1"/>
    <mergeCell ref="QUR1:QUY1"/>
    <mergeCell ref="QRX1:QSE1"/>
    <mergeCell ref="QSF1:QSM1"/>
    <mergeCell ref="QSN1:QSU1"/>
    <mergeCell ref="QSV1:QTC1"/>
    <mergeCell ref="QTD1:QTK1"/>
    <mergeCell ref="RCR1:RCY1"/>
    <mergeCell ref="RCZ1:RDG1"/>
    <mergeCell ref="RDH1:RDO1"/>
    <mergeCell ref="RDP1:RDW1"/>
    <mergeCell ref="RDX1:REE1"/>
    <mergeCell ref="RBD1:RBK1"/>
    <mergeCell ref="RBL1:RBS1"/>
    <mergeCell ref="RBT1:RCA1"/>
    <mergeCell ref="RCB1:RCI1"/>
    <mergeCell ref="RCJ1:RCQ1"/>
    <mergeCell ref="QZP1:QZW1"/>
    <mergeCell ref="QZX1:RAE1"/>
    <mergeCell ref="RAF1:RAM1"/>
    <mergeCell ref="RAN1:RAU1"/>
    <mergeCell ref="RAV1:RBC1"/>
    <mergeCell ref="QYB1:QYI1"/>
    <mergeCell ref="QYJ1:QYQ1"/>
    <mergeCell ref="QYR1:QYY1"/>
    <mergeCell ref="QYZ1:QZG1"/>
    <mergeCell ref="QZH1:QZO1"/>
    <mergeCell ref="RIV1:RJC1"/>
    <mergeCell ref="RJD1:RJK1"/>
    <mergeCell ref="RJL1:RJS1"/>
    <mergeCell ref="RJT1:RKA1"/>
    <mergeCell ref="RKB1:RKI1"/>
    <mergeCell ref="RHH1:RHO1"/>
    <mergeCell ref="RHP1:RHW1"/>
    <mergeCell ref="RHX1:RIE1"/>
    <mergeCell ref="RIF1:RIM1"/>
    <mergeCell ref="RIN1:RIU1"/>
    <mergeCell ref="RFT1:RGA1"/>
    <mergeCell ref="RGB1:RGI1"/>
    <mergeCell ref="RGJ1:RGQ1"/>
    <mergeCell ref="RGR1:RGY1"/>
    <mergeCell ref="RGZ1:RHG1"/>
    <mergeCell ref="REF1:REM1"/>
    <mergeCell ref="REN1:REU1"/>
    <mergeCell ref="REV1:RFC1"/>
    <mergeCell ref="RFD1:RFK1"/>
    <mergeCell ref="RFL1:RFS1"/>
    <mergeCell ref="ROZ1:RPG1"/>
    <mergeCell ref="RPH1:RPO1"/>
    <mergeCell ref="RPP1:RPW1"/>
    <mergeCell ref="RPX1:RQE1"/>
    <mergeCell ref="RQF1:RQM1"/>
    <mergeCell ref="RNL1:RNS1"/>
    <mergeCell ref="RNT1:ROA1"/>
    <mergeCell ref="ROB1:ROI1"/>
    <mergeCell ref="ROJ1:ROQ1"/>
    <mergeCell ref="ROR1:ROY1"/>
    <mergeCell ref="RLX1:RME1"/>
    <mergeCell ref="RMF1:RMM1"/>
    <mergeCell ref="RMN1:RMU1"/>
    <mergeCell ref="RMV1:RNC1"/>
    <mergeCell ref="RND1:RNK1"/>
    <mergeCell ref="RKJ1:RKQ1"/>
    <mergeCell ref="RKR1:RKY1"/>
    <mergeCell ref="RKZ1:RLG1"/>
    <mergeCell ref="RLH1:RLO1"/>
    <mergeCell ref="RLP1:RLW1"/>
    <mergeCell ref="RVD1:RVK1"/>
    <mergeCell ref="RVL1:RVS1"/>
    <mergeCell ref="RVT1:RWA1"/>
    <mergeCell ref="RWB1:RWI1"/>
    <mergeCell ref="RWJ1:RWQ1"/>
    <mergeCell ref="RTP1:RTW1"/>
    <mergeCell ref="RTX1:RUE1"/>
    <mergeCell ref="RUF1:RUM1"/>
    <mergeCell ref="RUN1:RUU1"/>
    <mergeCell ref="RUV1:RVC1"/>
    <mergeCell ref="RSB1:RSI1"/>
    <mergeCell ref="RSJ1:RSQ1"/>
    <mergeCell ref="RSR1:RSY1"/>
    <mergeCell ref="RSZ1:RTG1"/>
    <mergeCell ref="RTH1:RTO1"/>
    <mergeCell ref="RQN1:RQU1"/>
    <mergeCell ref="RQV1:RRC1"/>
    <mergeCell ref="RRD1:RRK1"/>
    <mergeCell ref="RRL1:RRS1"/>
    <mergeCell ref="RRT1:RSA1"/>
    <mergeCell ref="SBH1:SBO1"/>
    <mergeCell ref="SBP1:SBW1"/>
    <mergeCell ref="SBX1:SCE1"/>
    <mergeCell ref="SCF1:SCM1"/>
    <mergeCell ref="SCN1:SCU1"/>
    <mergeCell ref="RZT1:SAA1"/>
    <mergeCell ref="SAB1:SAI1"/>
    <mergeCell ref="SAJ1:SAQ1"/>
    <mergeCell ref="SAR1:SAY1"/>
    <mergeCell ref="SAZ1:SBG1"/>
    <mergeCell ref="RYF1:RYM1"/>
    <mergeCell ref="RYN1:RYU1"/>
    <mergeCell ref="RYV1:RZC1"/>
    <mergeCell ref="RZD1:RZK1"/>
    <mergeCell ref="RZL1:RZS1"/>
    <mergeCell ref="RWR1:RWY1"/>
    <mergeCell ref="RWZ1:RXG1"/>
    <mergeCell ref="RXH1:RXO1"/>
    <mergeCell ref="RXP1:RXW1"/>
    <mergeCell ref="RXX1:RYE1"/>
    <mergeCell ref="SHL1:SHS1"/>
    <mergeCell ref="SHT1:SIA1"/>
    <mergeCell ref="SIB1:SII1"/>
    <mergeCell ref="SIJ1:SIQ1"/>
    <mergeCell ref="SIR1:SIY1"/>
    <mergeCell ref="SFX1:SGE1"/>
    <mergeCell ref="SGF1:SGM1"/>
    <mergeCell ref="SGN1:SGU1"/>
    <mergeCell ref="SGV1:SHC1"/>
    <mergeCell ref="SHD1:SHK1"/>
    <mergeCell ref="SEJ1:SEQ1"/>
    <mergeCell ref="SER1:SEY1"/>
    <mergeCell ref="SEZ1:SFG1"/>
    <mergeCell ref="SFH1:SFO1"/>
    <mergeCell ref="SFP1:SFW1"/>
    <mergeCell ref="SCV1:SDC1"/>
    <mergeCell ref="SDD1:SDK1"/>
    <mergeCell ref="SDL1:SDS1"/>
    <mergeCell ref="SDT1:SEA1"/>
    <mergeCell ref="SEB1:SEI1"/>
    <mergeCell ref="SNP1:SNW1"/>
    <mergeCell ref="SNX1:SOE1"/>
    <mergeCell ref="SOF1:SOM1"/>
    <mergeCell ref="SON1:SOU1"/>
    <mergeCell ref="SOV1:SPC1"/>
    <mergeCell ref="SMB1:SMI1"/>
    <mergeCell ref="SMJ1:SMQ1"/>
    <mergeCell ref="SMR1:SMY1"/>
    <mergeCell ref="SMZ1:SNG1"/>
    <mergeCell ref="SNH1:SNO1"/>
    <mergeCell ref="SKN1:SKU1"/>
    <mergeCell ref="SKV1:SLC1"/>
    <mergeCell ref="SLD1:SLK1"/>
    <mergeCell ref="SLL1:SLS1"/>
    <mergeCell ref="SLT1:SMA1"/>
    <mergeCell ref="SIZ1:SJG1"/>
    <mergeCell ref="SJH1:SJO1"/>
    <mergeCell ref="SJP1:SJW1"/>
    <mergeCell ref="SJX1:SKE1"/>
    <mergeCell ref="SKF1:SKM1"/>
    <mergeCell ref="STT1:SUA1"/>
    <mergeCell ref="SUB1:SUI1"/>
    <mergeCell ref="SUJ1:SUQ1"/>
    <mergeCell ref="SUR1:SUY1"/>
    <mergeCell ref="SUZ1:SVG1"/>
    <mergeCell ref="SSF1:SSM1"/>
    <mergeCell ref="SSN1:SSU1"/>
    <mergeCell ref="SSV1:STC1"/>
    <mergeCell ref="STD1:STK1"/>
    <mergeCell ref="STL1:STS1"/>
    <mergeCell ref="SQR1:SQY1"/>
    <mergeCell ref="SQZ1:SRG1"/>
    <mergeCell ref="SRH1:SRO1"/>
    <mergeCell ref="SRP1:SRW1"/>
    <mergeCell ref="SRX1:SSE1"/>
    <mergeCell ref="SPD1:SPK1"/>
    <mergeCell ref="SPL1:SPS1"/>
    <mergeCell ref="SPT1:SQA1"/>
    <mergeCell ref="SQB1:SQI1"/>
    <mergeCell ref="SQJ1:SQQ1"/>
    <mergeCell ref="SZX1:TAE1"/>
    <mergeCell ref="TAF1:TAM1"/>
    <mergeCell ref="TAN1:TAU1"/>
    <mergeCell ref="TAV1:TBC1"/>
    <mergeCell ref="TBD1:TBK1"/>
    <mergeCell ref="SYJ1:SYQ1"/>
    <mergeCell ref="SYR1:SYY1"/>
    <mergeCell ref="SYZ1:SZG1"/>
    <mergeCell ref="SZH1:SZO1"/>
    <mergeCell ref="SZP1:SZW1"/>
    <mergeCell ref="SWV1:SXC1"/>
    <mergeCell ref="SXD1:SXK1"/>
    <mergeCell ref="SXL1:SXS1"/>
    <mergeCell ref="SXT1:SYA1"/>
    <mergeCell ref="SYB1:SYI1"/>
    <mergeCell ref="SVH1:SVO1"/>
    <mergeCell ref="SVP1:SVW1"/>
    <mergeCell ref="SVX1:SWE1"/>
    <mergeCell ref="SWF1:SWM1"/>
    <mergeCell ref="SWN1:SWU1"/>
    <mergeCell ref="TGB1:TGI1"/>
    <mergeCell ref="TGJ1:TGQ1"/>
    <mergeCell ref="TGR1:TGY1"/>
    <mergeCell ref="TGZ1:THG1"/>
    <mergeCell ref="THH1:THO1"/>
    <mergeCell ref="TEN1:TEU1"/>
    <mergeCell ref="TEV1:TFC1"/>
    <mergeCell ref="TFD1:TFK1"/>
    <mergeCell ref="TFL1:TFS1"/>
    <mergeCell ref="TFT1:TGA1"/>
    <mergeCell ref="TCZ1:TDG1"/>
    <mergeCell ref="TDH1:TDO1"/>
    <mergeCell ref="TDP1:TDW1"/>
    <mergeCell ref="TDX1:TEE1"/>
    <mergeCell ref="TEF1:TEM1"/>
    <mergeCell ref="TBL1:TBS1"/>
    <mergeCell ref="TBT1:TCA1"/>
    <mergeCell ref="TCB1:TCI1"/>
    <mergeCell ref="TCJ1:TCQ1"/>
    <mergeCell ref="TCR1:TCY1"/>
    <mergeCell ref="TMF1:TMM1"/>
    <mergeCell ref="TMN1:TMU1"/>
    <mergeCell ref="TMV1:TNC1"/>
    <mergeCell ref="TND1:TNK1"/>
    <mergeCell ref="TNL1:TNS1"/>
    <mergeCell ref="TKR1:TKY1"/>
    <mergeCell ref="TKZ1:TLG1"/>
    <mergeCell ref="TLH1:TLO1"/>
    <mergeCell ref="TLP1:TLW1"/>
    <mergeCell ref="TLX1:TME1"/>
    <mergeCell ref="TJD1:TJK1"/>
    <mergeCell ref="TJL1:TJS1"/>
    <mergeCell ref="TJT1:TKA1"/>
    <mergeCell ref="TKB1:TKI1"/>
    <mergeCell ref="TKJ1:TKQ1"/>
    <mergeCell ref="THP1:THW1"/>
    <mergeCell ref="THX1:TIE1"/>
    <mergeCell ref="TIF1:TIM1"/>
    <mergeCell ref="TIN1:TIU1"/>
    <mergeCell ref="TIV1:TJC1"/>
    <mergeCell ref="TSJ1:TSQ1"/>
    <mergeCell ref="TSR1:TSY1"/>
    <mergeCell ref="TSZ1:TTG1"/>
    <mergeCell ref="TTH1:TTO1"/>
    <mergeCell ref="TTP1:TTW1"/>
    <mergeCell ref="TQV1:TRC1"/>
    <mergeCell ref="TRD1:TRK1"/>
    <mergeCell ref="TRL1:TRS1"/>
    <mergeCell ref="TRT1:TSA1"/>
    <mergeCell ref="TSB1:TSI1"/>
    <mergeCell ref="TPH1:TPO1"/>
    <mergeCell ref="TPP1:TPW1"/>
    <mergeCell ref="TPX1:TQE1"/>
    <mergeCell ref="TQF1:TQM1"/>
    <mergeCell ref="TQN1:TQU1"/>
    <mergeCell ref="TNT1:TOA1"/>
    <mergeCell ref="TOB1:TOI1"/>
    <mergeCell ref="TOJ1:TOQ1"/>
    <mergeCell ref="TOR1:TOY1"/>
    <mergeCell ref="TOZ1:TPG1"/>
    <mergeCell ref="TYN1:TYU1"/>
    <mergeCell ref="TYV1:TZC1"/>
    <mergeCell ref="TZD1:TZK1"/>
    <mergeCell ref="TZL1:TZS1"/>
    <mergeCell ref="TZT1:UAA1"/>
    <mergeCell ref="TWZ1:TXG1"/>
    <mergeCell ref="TXH1:TXO1"/>
    <mergeCell ref="TXP1:TXW1"/>
    <mergeCell ref="TXX1:TYE1"/>
    <mergeCell ref="TYF1:TYM1"/>
    <mergeCell ref="TVL1:TVS1"/>
    <mergeCell ref="TVT1:TWA1"/>
    <mergeCell ref="TWB1:TWI1"/>
    <mergeCell ref="TWJ1:TWQ1"/>
    <mergeCell ref="TWR1:TWY1"/>
    <mergeCell ref="TTX1:TUE1"/>
    <mergeCell ref="TUF1:TUM1"/>
    <mergeCell ref="TUN1:TUU1"/>
    <mergeCell ref="TUV1:TVC1"/>
    <mergeCell ref="TVD1:TVK1"/>
    <mergeCell ref="UER1:UEY1"/>
    <mergeCell ref="UEZ1:UFG1"/>
    <mergeCell ref="UFH1:UFO1"/>
    <mergeCell ref="UFP1:UFW1"/>
    <mergeCell ref="UFX1:UGE1"/>
    <mergeCell ref="UDD1:UDK1"/>
    <mergeCell ref="UDL1:UDS1"/>
    <mergeCell ref="UDT1:UEA1"/>
    <mergeCell ref="UEB1:UEI1"/>
    <mergeCell ref="UEJ1:UEQ1"/>
    <mergeCell ref="UBP1:UBW1"/>
    <mergeCell ref="UBX1:UCE1"/>
    <mergeCell ref="UCF1:UCM1"/>
    <mergeCell ref="UCN1:UCU1"/>
    <mergeCell ref="UCV1:UDC1"/>
    <mergeCell ref="UAB1:UAI1"/>
    <mergeCell ref="UAJ1:UAQ1"/>
    <mergeCell ref="UAR1:UAY1"/>
    <mergeCell ref="UAZ1:UBG1"/>
    <mergeCell ref="UBH1:UBO1"/>
    <mergeCell ref="UKV1:ULC1"/>
    <mergeCell ref="ULD1:ULK1"/>
    <mergeCell ref="ULL1:ULS1"/>
    <mergeCell ref="ULT1:UMA1"/>
    <mergeCell ref="UMB1:UMI1"/>
    <mergeCell ref="UJH1:UJO1"/>
    <mergeCell ref="UJP1:UJW1"/>
    <mergeCell ref="UJX1:UKE1"/>
    <mergeCell ref="UKF1:UKM1"/>
    <mergeCell ref="UKN1:UKU1"/>
    <mergeCell ref="UHT1:UIA1"/>
    <mergeCell ref="UIB1:UII1"/>
    <mergeCell ref="UIJ1:UIQ1"/>
    <mergeCell ref="UIR1:UIY1"/>
    <mergeCell ref="UIZ1:UJG1"/>
    <mergeCell ref="UGF1:UGM1"/>
    <mergeCell ref="UGN1:UGU1"/>
    <mergeCell ref="UGV1:UHC1"/>
    <mergeCell ref="UHD1:UHK1"/>
    <mergeCell ref="UHL1:UHS1"/>
    <mergeCell ref="UQZ1:URG1"/>
    <mergeCell ref="URH1:URO1"/>
    <mergeCell ref="URP1:URW1"/>
    <mergeCell ref="URX1:USE1"/>
    <mergeCell ref="USF1:USM1"/>
    <mergeCell ref="UPL1:UPS1"/>
    <mergeCell ref="UPT1:UQA1"/>
    <mergeCell ref="UQB1:UQI1"/>
    <mergeCell ref="UQJ1:UQQ1"/>
    <mergeCell ref="UQR1:UQY1"/>
    <mergeCell ref="UNX1:UOE1"/>
    <mergeCell ref="UOF1:UOM1"/>
    <mergeCell ref="UON1:UOU1"/>
    <mergeCell ref="UOV1:UPC1"/>
    <mergeCell ref="UPD1:UPK1"/>
    <mergeCell ref="UMJ1:UMQ1"/>
    <mergeCell ref="UMR1:UMY1"/>
    <mergeCell ref="UMZ1:UNG1"/>
    <mergeCell ref="UNH1:UNO1"/>
    <mergeCell ref="UNP1:UNW1"/>
    <mergeCell ref="UXD1:UXK1"/>
    <mergeCell ref="UXL1:UXS1"/>
    <mergeCell ref="UXT1:UYA1"/>
    <mergeCell ref="UYB1:UYI1"/>
    <mergeCell ref="UYJ1:UYQ1"/>
    <mergeCell ref="UVP1:UVW1"/>
    <mergeCell ref="UVX1:UWE1"/>
    <mergeCell ref="UWF1:UWM1"/>
    <mergeCell ref="UWN1:UWU1"/>
    <mergeCell ref="UWV1:UXC1"/>
    <mergeCell ref="UUB1:UUI1"/>
    <mergeCell ref="UUJ1:UUQ1"/>
    <mergeCell ref="UUR1:UUY1"/>
    <mergeCell ref="UUZ1:UVG1"/>
    <mergeCell ref="UVH1:UVO1"/>
    <mergeCell ref="USN1:USU1"/>
    <mergeCell ref="USV1:UTC1"/>
    <mergeCell ref="UTD1:UTK1"/>
    <mergeCell ref="UTL1:UTS1"/>
    <mergeCell ref="UTT1:UUA1"/>
    <mergeCell ref="VDH1:VDO1"/>
    <mergeCell ref="VDP1:VDW1"/>
    <mergeCell ref="VDX1:VEE1"/>
    <mergeCell ref="VEF1:VEM1"/>
    <mergeCell ref="VEN1:VEU1"/>
    <mergeCell ref="VBT1:VCA1"/>
    <mergeCell ref="VCB1:VCI1"/>
    <mergeCell ref="VCJ1:VCQ1"/>
    <mergeCell ref="VCR1:VCY1"/>
    <mergeCell ref="VCZ1:VDG1"/>
    <mergeCell ref="VAF1:VAM1"/>
    <mergeCell ref="VAN1:VAU1"/>
    <mergeCell ref="VAV1:VBC1"/>
    <mergeCell ref="VBD1:VBK1"/>
    <mergeCell ref="VBL1:VBS1"/>
    <mergeCell ref="UYR1:UYY1"/>
    <mergeCell ref="UYZ1:UZG1"/>
    <mergeCell ref="UZH1:UZO1"/>
    <mergeCell ref="UZP1:UZW1"/>
    <mergeCell ref="UZX1:VAE1"/>
    <mergeCell ref="VJL1:VJS1"/>
    <mergeCell ref="VJT1:VKA1"/>
    <mergeCell ref="VKB1:VKI1"/>
    <mergeCell ref="VKJ1:VKQ1"/>
    <mergeCell ref="VKR1:VKY1"/>
    <mergeCell ref="VHX1:VIE1"/>
    <mergeCell ref="VIF1:VIM1"/>
    <mergeCell ref="VIN1:VIU1"/>
    <mergeCell ref="VIV1:VJC1"/>
    <mergeCell ref="VJD1:VJK1"/>
    <mergeCell ref="VGJ1:VGQ1"/>
    <mergeCell ref="VGR1:VGY1"/>
    <mergeCell ref="VGZ1:VHG1"/>
    <mergeCell ref="VHH1:VHO1"/>
    <mergeCell ref="VHP1:VHW1"/>
    <mergeCell ref="VEV1:VFC1"/>
    <mergeCell ref="VFD1:VFK1"/>
    <mergeCell ref="VFL1:VFS1"/>
    <mergeCell ref="VFT1:VGA1"/>
    <mergeCell ref="VGB1:VGI1"/>
    <mergeCell ref="VPP1:VPW1"/>
    <mergeCell ref="VPX1:VQE1"/>
    <mergeCell ref="VQF1:VQM1"/>
    <mergeCell ref="VQN1:VQU1"/>
    <mergeCell ref="VQV1:VRC1"/>
    <mergeCell ref="VOB1:VOI1"/>
    <mergeCell ref="VOJ1:VOQ1"/>
    <mergeCell ref="VOR1:VOY1"/>
    <mergeCell ref="VOZ1:VPG1"/>
    <mergeCell ref="VPH1:VPO1"/>
    <mergeCell ref="VMN1:VMU1"/>
    <mergeCell ref="VMV1:VNC1"/>
    <mergeCell ref="VND1:VNK1"/>
    <mergeCell ref="VNL1:VNS1"/>
    <mergeCell ref="VNT1:VOA1"/>
    <mergeCell ref="VKZ1:VLG1"/>
    <mergeCell ref="VLH1:VLO1"/>
    <mergeCell ref="VLP1:VLW1"/>
    <mergeCell ref="VLX1:VME1"/>
    <mergeCell ref="VMF1:VMM1"/>
    <mergeCell ref="VVT1:VWA1"/>
    <mergeCell ref="VWB1:VWI1"/>
    <mergeCell ref="VWJ1:VWQ1"/>
    <mergeCell ref="VWR1:VWY1"/>
    <mergeCell ref="VWZ1:VXG1"/>
    <mergeCell ref="VUF1:VUM1"/>
    <mergeCell ref="VUN1:VUU1"/>
    <mergeCell ref="VUV1:VVC1"/>
    <mergeCell ref="VVD1:VVK1"/>
    <mergeCell ref="VVL1:VVS1"/>
    <mergeCell ref="VSR1:VSY1"/>
    <mergeCell ref="VSZ1:VTG1"/>
    <mergeCell ref="VTH1:VTO1"/>
    <mergeCell ref="VTP1:VTW1"/>
    <mergeCell ref="VTX1:VUE1"/>
    <mergeCell ref="VRD1:VRK1"/>
    <mergeCell ref="VRL1:VRS1"/>
    <mergeCell ref="VRT1:VSA1"/>
    <mergeCell ref="VSB1:VSI1"/>
    <mergeCell ref="VSJ1:VSQ1"/>
    <mergeCell ref="WBX1:WCE1"/>
    <mergeCell ref="WCF1:WCM1"/>
    <mergeCell ref="WCN1:WCU1"/>
    <mergeCell ref="WCV1:WDC1"/>
    <mergeCell ref="WDD1:WDK1"/>
    <mergeCell ref="WAJ1:WAQ1"/>
    <mergeCell ref="WAR1:WAY1"/>
    <mergeCell ref="WAZ1:WBG1"/>
    <mergeCell ref="WBH1:WBO1"/>
    <mergeCell ref="WBP1:WBW1"/>
    <mergeCell ref="VYV1:VZC1"/>
    <mergeCell ref="VZD1:VZK1"/>
    <mergeCell ref="VZL1:VZS1"/>
    <mergeCell ref="VZT1:WAA1"/>
    <mergeCell ref="WAB1:WAI1"/>
    <mergeCell ref="VXH1:VXO1"/>
    <mergeCell ref="VXP1:VXW1"/>
    <mergeCell ref="VXX1:VYE1"/>
    <mergeCell ref="VYF1:VYM1"/>
    <mergeCell ref="VYN1:VYU1"/>
    <mergeCell ref="WIB1:WII1"/>
    <mergeCell ref="WIJ1:WIQ1"/>
    <mergeCell ref="WIR1:WIY1"/>
    <mergeCell ref="WIZ1:WJG1"/>
    <mergeCell ref="WJH1:WJO1"/>
    <mergeCell ref="WGN1:WGU1"/>
    <mergeCell ref="WGV1:WHC1"/>
    <mergeCell ref="WHD1:WHK1"/>
    <mergeCell ref="WHL1:WHS1"/>
    <mergeCell ref="WHT1:WIA1"/>
    <mergeCell ref="WEZ1:WFG1"/>
    <mergeCell ref="WFH1:WFO1"/>
    <mergeCell ref="WFP1:WFW1"/>
    <mergeCell ref="WFX1:WGE1"/>
    <mergeCell ref="WGF1:WGM1"/>
    <mergeCell ref="WDL1:WDS1"/>
    <mergeCell ref="WDT1:WEA1"/>
    <mergeCell ref="WEB1:WEI1"/>
    <mergeCell ref="WEJ1:WEQ1"/>
    <mergeCell ref="WER1:WEY1"/>
    <mergeCell ref="WOF1:WOM1"/>
    <mergeCell ref="WON1:WOU1"/>
    <mergeCell ref="WOV1:WPC1"/>
    <mergeCell ref="WPD1:WPK1"/>
    <mergeCell ref="WPL1:WPS1"/>
    <mergeCell ref="WMR1:WMY1"/>
    <mergeCell ref="WMZ1:WNG1"/>
    <mergeCell ref="WNH1:WNO1"/>
    <mergeCell ref="WNP1:WNW1"/>
    <mergeCell ref="WNX1:WOE1"/>
    <mergeCell ref="WLD1:WLK1"/>
    <mergeCell ref="WLL1:WLS1"/>
    <mergeCell ref="WLT1:WMA1"/>
    <mergeCell ref="WMB1:WMI1"/>
    <mergeCell ref="WMJ1:WMQ1"/>
    <mergeCell ref="WJP1:WJW1"/>
    <mergeCell ref="WJX1:WKE1"/>
    <mergeCell ref="WKF1:WKM1"/>
    <mergeCell ref="WKN1:WKU1"/>
    <mergeCell ref="WKV1:WLC1"/>
    <mergeCell ref="WUZ1:WVG1"/>
    <mergeCell ref="WVH1:WVO1"/>
    <mergeCell ref="WVP1:WVW1"/>
    <mergeCell ref="WSV1:WTC1"/>
    <mergeCell ref="WTD1:WTK1"/>
    <mergeCell ref="WTL1:WTS1"/>
    <mergeCell ref="WTT1:WUA1"/>
    <mergeCell ref="WUB1:WUI1"/>
    <mergeCell ref="WRH1:WRO1"/>
    <mergeCell ref="WRP1:WRW1"/>
    <mergeCell ref="WRX1:WSE1"/>
    <mergeCell ref="WSF1:WSM1"/>
    <mergeCell ref="WSN1:WSU1"/>
    <mergeCell ref="WPT1:WQA1"/>
    <mergeCell ref="WQB1:WQI1"/>
    <mergeCell ref="WQJ1:WQQ1"/>
    <mergeCell ref="WQR1:WQY1"/>
    <mergeCell ref="WQZ1:WRG1"/>
    <mergeCell ref="WXL1:WXS1"/>
    <mergeCell ref="WXT1:WYA1"/>
    <mergeCell ref="WYB1:WYI1"/>
    <mergeCell ref="WYJ1:WYQ1"/>
    <mergeCell ref="WYR1:WYY1"/>
    <mergeCell ref="WVX1:WWE1"/>
    <mergeCell ref="WWF1:WWM1"/>
    <mergeCell ref="WWN1:WWU1"/>
    <mergeCell ref="WWV1:WXC1"/>
    <mergeCell ref="WXD1:WXK1"/>
    <mergeCell ref="WUJ1:WUQ1"/>
    <mergeCell ref="XDP1:XDW1"/>
    <mergeCell ref="XDX1:XEE1"/>
    <mergeCell ref="XEF1:XEM1"/>
    <mergeCell ref="XEN1:XEU1"/>
    <mergeCell ref="XEV1:XFC1"/>
    <mergeCell ref="XCB1:XCI1"/>
    <mergeCell ref="XCJ1:XCQ1"/>
    <mergeCell ref="XCR1:XCY1"/>
    <mergeCell ref="XCZ1:XDG1"/>
    <mergeCell ref="XDH1:XDO1"/>
    <mergeCell ref="XAN1:XAU1"/>
    <mergeCell ref="XAV1:XBC1"/>
    <mergeCell ref="XBD1:XBK1"/>
    <mergeCell ref="XBL1:XBS1"/>
    <mergeCell ref="XBT1:XCA1"/>
    <mergeCell ref="WYZ1:WZG1"/>
    <mergeCell ref="WZH1:WZO1"/>
    <mergeCell ref="WZP1:WZW1"/>
    <mergeCell ref="WZX1:XAE1"/>
    <mergeCell ref="XAF1:XAM1"/>
    <mergeCell ref="WUR1:WUY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XFD217"/>
  <sheetViews>
    <sheetView showGridLines="0" tabSelected="1" topLeftCell="Y1" zoomScale="80" zoomScaleNormal="80" workbookViewId="0">
      <pane ySplit="1" topLeftCell="A21" activePane="bottomLeft" state="frozen"/>
      <selection pane="bottomLeft" activeCell="C36" sqref="C36"/>
    </sheetView>
  </sheetViews>
  <sheetFormatPr defaultColWidth="11.44140625" defaultRowHeight="14.4" outlineLevelRow="1" x14ac:dyDescent="0.3"/>
  <cols>
    <col min="1" max="1" width="1.77734375" style="1" customWidth="1"/>
    <col min="2" max="2" width="62.21875" style="65" customWidth="1"/>
    <col min="3" max="3" width="18.21875" style="2" bestFit="1" customWidth="1"/>
    <col min="4" max="4" width="23.44140625" style="2" customWidth="1"/>
    <col min="5" max="7" width="19.44140625" style="2" bestFit="1" customWidth="1"/>
    <col min="8" max="8" width="21" style="2" bestFit="1" customWidth="1"/>
    <col min="9" max="9" width="19.44140625" style="2" bestFit="1" customWidth="1"/>
    <col min="10" max="15" width="20" style="2" bestFit="1" customWidth="1"/>
    <col min="16" max="23" width="16.21875" style="2" customWidth="1"/>
    <col min="24" max="28" width="16.21875" style="1" customWidth="1"/>
    <col min="29" max="29" width="14.77734375" style="1" customWidth="1"/>
    <col min="30" max="30" width="22.44140625" style="1" customWidth="1"/>
    <col min="31" max="16384" width="11.44140625" style="1"/>
  </cols>
  <sheetData>
    <row r="1" spans="2:28" s="3" customFormat="1" ht="49.95" customHeight="1" x14ac:dyDescent="0.3">
      <c r="B1" s="66">
        <v>3</v>
      </c>
      <c r="C1" s="529" t="s">
        <v>27</v>
      </c>
      <c r="D1" s="529"/>
      <c r="E1" s="529"/>
      <c r="F1" s="529"/>
      <c r="G1" s="529"/>
      <c r="H1" s="529"/>
      <c r="I1" s="529"/>
      <c r="J1" s="530"/>
      <c r="K1" s="4"/>
      <c r="L1" s="4"/>
      <c r="M1" s="4"/>
      <c r="N1" s="24"/>
      <c r="O1" s="4"/>
      <c r="P1" s="4"/>
      <c r="Q1" s="4"/>
      <c r="R1" s="5"/>
      <c r="S1" s="5"/>
      <c r="T1" s="6"/>
      <c r="U1" s="6"/>
      <c r="V1" s="6"/>
      <c r="W1" s="6"/>
    </row>
    <row r="2" spans="2:28" ht="18" customHeight="1" x14ac:dyDescent="0.3">
      <c r="B2" s="270" t="s">
        <v>116</v>
      </c>
      <c r="C2" s="529"/>
      <c r="D2" s="529"/>
      <c r="E2" s="529"/>
      <c r="F2" s="529"/>
      <c r="G2" s="529"/>
      <c r="H2" s="529"/>
      <c r="I2" s="529"/>
      <c r="J2" s="530"/>
      <c r="K2" s="256"/>
      <c r="L2" s="34"/>
      <c r="M2" s="35"/>
      <c r="N2" s="35"/>
      <c r="O2" s="46"/>
      <c r="P2" s="1"/>
      <c r="Q2" s="547"/>
      <c r="R2" s="547"/>
      <c r="S2" s="547"/>
      <c r="T2" s="547"/>
      <c r="U2" s="547"/>
      <c r="V2" s="547"/>
      <c r="W2" s="547"/>
      <c r="X2" s="2"/>
      <c r="Y2" s="2"/>
      <c r="Z2" s="2"/>
    </row>
    <row r="3" spans="2:28" ht="15" x14ac:dyDescent="0.3">
      <c r="B3" s="257"/>
      <c r="C3" s="258"/>
      <c r="D3" s="259"/>
      <c r="E3" s="259"/>
      <c r="F3" s="260"/>
      <c r="G3" s="261"/>
      <c r="H3" s="257"/>
      <c r="I3" s="260"/>
      <c r="J3" s="261"/>
      <c r="K3" s="256"/>
      <c r="L3" s="34"/>
      <c r="M3" s="56"/>
      <c r="N3" s="56"/>
      <c r="O3" s="60"/>
      <c r="P3" s="1"/>
      <c r="Q3" s="61"/>
      <c r="R3" s="57"/>
      <c r="S3" s="57"/>
      <c r="T3" s="57"/>
      <c r="U3" s="1"/>
      <c r="V3" s="58"/>
      <c r="W3" s="62"/>
      <c r="X3" s="33"/>
      <c r="Y3" s="2"/>
      <c r="Z3" s="2"/>
    </row>
    <row r="4" spans="2:28" ht="15" x14ac:dyDescent="0.3">
      <c r="B4" s="262"/>
      <c r="C4" s="260"/>
      <c r="D4" s="263"/>
      <c r="E4" s="263"/>
      <c r="F4" s="260"/>
      <c r="G4" s="263"/>
      <c r="H4" s="262"/>
      <c r="I4" s="260"/>
      <c r="J4" s="263"/>
      <c r="K4" s="256"/>
      <c r="L4" s="34"/>
      <c r="M4" s="56"/>
      <c r="N4" s="56"/>
      <c r="O4" s="60"/>
      <c r="P4" s="1"/>
      <c r="Q4" s="61"/>
      <c r="R4" s="57"/>
      <c r="S4" s="57"/>
      <c r="T4" s="57"/>
      <c r="U4" s="1"/>
      <c r="V4" s="58"/>
      <c r="W4" s="62"/>
      <c r="X4" s="33"/>
      <c r="Y4" s="2"/>
      <c r="Z4" s="2"/>
    </row>
    <row r="5" spans="2:28" ht="15" x14ac:dyDescent="0.3">
      <c r="B5" s="264"/>
      <c r="C5" s="260"/>
      <c r="D5" s="265"/>
      <c r="E5" s="264"/>
      <c r="F5" s="260"/>
      <c r="G5" s="265"/>
      <c r="H5" s="264"/>
      <c r="I5" s="260"/>
      <c r="J5" s="265"/>
      <c r="K5" s="256"/>
      <c r="L5" s="34"/>
      <c r="M5" s="56"/>
      <c r="N5" s="56"/>
      <c r="O5" s="60"/>
      <c r="P5" s="1"/>
      <c r="Q5" s="61"/>
      <c r="R5" s="57"/>
      <c r="S5" s="57"/>
      <c r="T5" s="57"/>
      <c r="U5" s="1"/>
      <c r="V5" s="58"/>
      <c r="W5" s="62"/>
      <c r="X5" s="33"/>
      <c r="Y5" s="2"/>
      <c r="Z5" s="2"/>
    </row>
    <row r="6" spans="2:28" ht="15" customHeight="1" x14ac:dyDescent="0.3">
      <c r="B6" s="266"/>
      <c r="C6" s="260"/>
      <c r="D6" s="267"/>
      <c r="E6" s="266"/>
      <c r="F6" s="260"/>
      <c r="G6" s="267"/>
      <c r="H6" s="266"/>
      <c r="I6" s="260"/>
      <c r="J6" s="267"/>
      <c r="K6" s="256"/>
      <c r="L6" s="34"/>
      <c r="M6" s="56"/>
      <c r="N6" s="56"/>
      <c r="O6" s="63"/>
      <c r="P6" s="548"/>
      <c r="Q6" s="61"/>
      <c r="R6" s="57"/>
      <c r="S6" s="57"/>
      <c r="T6" s="57"/>
      <c r="U6" s="1"/>
      <c r="V6" s="58"/>
      <c r="W6" s="59"/>
      <c r="X6" s="2"/>
      <c r="Y6" s="2"/>
      <c r="Z6" s="2"/>
    </row>
    <row r="7" spans="2:28" ht="15" x14ac:dyDescent="0.3">
      <c r="B7" s="268"/>
      <c r="C7" s="260"/>
      <c r="E7" s="268"/>
      <c r="F7" s="260"/>
      <c r="H7" s="268"/>
      <c r="I7" s="260"/>
      <c r="L7" s="211" t="s">
        <v>0</v>
      </c>
      <c r="M7" s="44"/>
      <c r="N7" s="44"/>
      <c r="O7" s="49"/>
      <c r="P7" s="548"/>
      <c r="Q7" s="51"/>
      <c r="R7" s="45"/>
      <c r="S7" s="45"/>
      <c r="T7" s="45"/>
      <c r="U7" s="34"/>
      <c r="V7" s="31"/>
      <c r="W7" s="50"/>
      <c r="X7" s="2"/>
      <c r="Y7" s="2"/>
      <c r="Z7" s="2"/>
    </row>
    <row r="8" spans="2:28" x14ac:dyDescent="0.3">
      <c r="B8" s="67"/>
      <c r="C8" s="32"/>
      <c r="D8" s="10"/>
      <c r="E8" s="10"/>
      <c r="F8" s="7"/>
      <c r="H8" s="45"/>
      <c r="I8" s="45"/>
      <c r="J8" s="45"/>
      <c r="K8" s="45"/>
      <c r="L8" s="34"/>
      <c r="M8" s="45"/>
      <c r="N8" s="35"/>
      <c r="O8" s="48"/>
      <c r="P8" s="1"/>
      <c r="Q8" s="52"/>
      <c r="R8" s="45"/>
      <c r="S8" s="45"/>
      <c r="T8" s="45"/>
      <c r="U8" s="34"/>
      <c r="V8" s="31"/>
      <c r="W8" s="53"/>
      <c r="X8" s="33"/>
      <c r="Y8" s="30"/>
      <c r="Z8" s="2"/>
    </row>
    <row r="9" spans="2:28" ht="17.399999999999999" x14ac:dyDescent="0.3">
      <c r="B9" s="549" t="s">
        <v>117</v>
      </c>
      <c r="C9" s="549"/>
      <c r="D9" s="549"/>
      <c r="E9" s="549"/>
      <c r="F9" s="549"/>
      <c r="G9" s="549"/>
      <c r="H9" s="549"/>
      <c r="I9" s="549"/>
      <c r="J9" s="549"/>
      <c r="K9" s="549"/>
      <c r="L9" s="549"/>
      <c r="M9" s="549"/>
      <c r="N9" s="549"/>
      <c r="O9" s="549"/>
      <c r="P9" s="549"/>
      <c r="Q9" s="549"/>
      <c r="R9" s="549"/>
      <c r="S9" s="549"/>
      <c r="T9" s="549"/>
      <c r="U9" s="549"/>
      <c r="V9" s="549"/>
      <c r="W9" s="549"/>
      <c r="X9" s="549"/>
      <c r="Y9" s="549"/>
      <c r="Z9" s="549"/>
      <c r="AA9" s="549"/>
      <c r="AB9" s="549"/>
    </row>
    <row r="10" spans="2:28" ht="17.399999999999999" x14ac:dyDescent="0.3">
      <c r="B10" s="212"/>
      <c r="C10" s="213"/>
      <c r="D10" s="213"/>
      <c r="E10" s="213"/>
      <c r="F10" s="213"/>
      <c r="G10" s="213"/>
      <c r="H10" s="213"/>
      <c r="I10" s="213"/>
      <c r="J10" s="213"/>
      <c r="K10" s="213"/>
      <c r="L10" s="21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</row>
    <row r="11" spans="2:28" ht="17.399999999999999" x14ac:dyDescent="0.3">
      <c r="B11" s="215"/>
      <c r="C11" s="24"/>
      <c r="D11" s="24"/>
      <c r="E11" s="24"/>
      <c r="F11" s="24"/>
      <c r="G11" s="24"/>
      <c r="H11" s="24"/>
      <c r="I11" s="24"/>
      <c r="J11" s="24"/>
      <c r="K11" s="24"/>
      <c r="L11" s="216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2:28" ht="17.399999999999999" x14ac:dyDescent="0.3">
      <c r="B12" s="215"/>
      <c r="C12" s="24"/>
      <c r="D12" s="24"/>
      <c r="E12" s="24"/>
      <c r="F12" s="24"/>
      <c r="G12" s="24"/>
      <c r="H12" s="24"/>
      <c r="I12" s="24"/>
      <c r="J12" s="24"/>
      <c r="K12" s="24"/>
      <c r="L12" s="216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 spans="2:28" x14ac:dyDescent="0.3">
      <c r="B13" s="68" t="s">
        <v>118</v>
      </c>
      <c r="C13" s="29"/>
      <c r="D13" s="28">
        <v>1</v>
      </c>
      <c r="E13" s="28">
        <v>2</v>
      </c>
      <c r="F13" s="28">
        <v>3</v>
      </c>
      <c r="G13" s="28">
        <v>4</v>
      </c>
      <c r="H13" s="28">
        <v>5</v>
      </c>
      <c r="I13" s="28">
        <v>6</v>
      </c>
      <c r="J13" s="28">
        <v>7</v>
      </c>
      <c r="K13" s="28">
        <v>8</v>
      </c>
      <c r="L13" s="28">
        <v>9</v>
      </c>
      <c r="M13" s="28">
        <v>10</v>
      </c>
      <c r="N13" s="28">
        <v>11</v>
      </c>
      <c r="O13" s="28">
        <v>12</v>
      </c>
      <c r="P13" s="28">
        <v>13</v>
      </c>
      <c r="Q13" s="28">
        <v>14</v>
      </c>
      <c r="R13" s="28">
        <v>15</v>
      </c>
      <c r="S13" s="28">
        <v>16</v>
      </c>
      <c r="T13" s="28">
        <v>17</v>
      </c>
      <c r="U13" s="28">
        <v>18</v>
      </c>
      <c r="V13" s="28">
        <v>19</v>
      </c>
      <c r="W13" s="28">
        <v>20</v>
      </c>
      <c r="X13" s="28">
        <v>21</v>
      </c>
      <c r="Y13" s="28">
        <v>22</v>
      </c>
      <c r="Z13" s="28">
        <v>23</v>
      </c>
      <c r="AA13" s="28">
        <v>24</v>
      </c>
      <c r="AB13" s="54">
        <v>25</v>
      </c>
    </row>
    <row r="14" spans="2:28" x14ac:dyDescent="0.3">
      <c r="B14" s="69" t="s">
        <v>119</v>
      </c>
      <c r="C14" s="47"/>
      <c r="D14" s="484">
        <f>IF(D13&lt;='SITE Model - INPUT PARAMETERS'!$C$42,PMT('SITE Model - INPUT PARAMETERS'!$C$41,'SITE Model - INPUT PARAMETERS'!$C$42,'SITE Model - INPUT PARAMETERS'!$C$40),0)</f>
        <v>-99319.163195155284</v>
      </c>
      <c r="E14" s="484">
        <f>IF(E13&lt;='SITE Model - INPUT PARAMETERS'!$C$42,PMT('SITE Model - INPUT PARAMETERS'!$C$41,'SITE Model - INPUT PARAMETERS'!$C$42,'SITE Model - INPUT PARAMETERS'!$C$40),0)</f>
        <v>-99319.163195155284</v>
      </c>
      <c r="F14" s="484">
        <f>IF(F13&lt;='SITE Model - INPUT PARAMETERS'!$C$42,PMT('SITE Model - INPUT PARAMETERS'!$C$41,'SITE Model - INPUT PARAMETERS'!$C$42,'SITE Model - INPUT PARAMETERS'!$C$40),0)</f>
        <v>-99319.163195155284</v>
      </c>
      <c r="G14" s="484">
        <f>IF(G13&lt;='SITE Model - INPUT PARAMETERS'!$C$42,PMT('SITE Model - INPUT PARAMETERS'!$C$41,'SITE Model - INPUT PARAMETERS'!$C$42,'SITE Model - INPUT PARAMETERS'!$C$40),0)</f>
        <v>-99319.163195155284</v>
      </c>
      <c r="H14" s="484">
        <f>IF(H13&lt;='SITE Model - INPUT PARAMETERS'!$C$42,PMT('SITE Model - INPUT PARAMETERS'!$C$41,'SITE Model - INPUT PARAMETERS'!$C$42,'SITE Model - INPUT PARAMETERS'!$C$40),0)</f>
        <v>-99319.163195155284</v>
      </c>
      <c r="I14" s="484">
        <f>IF(I13&lt;='SITE Model - INPUT PARAMETERS'!$C$42,PMT('SITE Model - INPUT PARAMETERS'!$C$41,'SITE Model - INPUT PARAMETERS'!$C$42,'SITE Model - INPUT PARAMETERS'!$C$40),0)</f>
        <v>0</v>
      </c>
      <c r="J14" s="484">
        <f>IF(J13&lt;='SITE Model - INPUT PARAMETERS'!$C$42,PMT('SITE Model - INPUT PARAMETERS'!$C$41,'SITE Model - INPUT PARAMETERS'!$C$42,'SITE Model - INPUT PARAMETERS'!$C$40),0)</f>
        <v>0</v>
      </c>
      <c r="K14" s="484">
        <f>IF(K13&lt;='SITE Model - INPUT PARAMETERS'!$C$42,PMT('SITE Model - INPUT PARAMETERS'!$C$41,'SITE Model - INPUT PARAMETERS'!$C$42,'SITE Model - INPUT PARAMETERS'!$C$40),0)</f>
        <v>0</v>
      </c>
      <c r="L14" s="484">
        <f>IF(L13&lt;='SITE Model - INPUT PARAMETERS'!$C$42,PMT('SITE Model - INPUT PARAMETERS'!$C$41,'SITE Model - INPUT PARAMETERS'!$C$42,'SITE Model - INPUT PARAMETERS'!$C$40),0)</f>
        <v>0</v>
      </c>
      <c r="M14" s="484">
        <f>IF(M13&lt;='SITE Model - INPUT PARAMETERS'!$C$42,PMT('SITE Model - INPUT PARAMETERS'!$C$41,'SITE Model - INPUT PARAMETERS'!$C$42,'SITE Model - INPUT PARAMETERS'!$C$40),0)</f>
        <v>0</v>
      </c>
      <c r="N14" s="484"/>
      <c r="O14" s="484"/>
      <c r="P14" s="484"/>
      <c r="Q14" s="484"/>
      <c r="R14" s="484"/>
      <c r="S14" s="484"/>
      <c r="T14" s="484"/>
      <c r="U14" s="484"/>
      <c r="V14" s="484"/>
      <c r="W14" s="484"/>
      <c r="X14" s="484"/>
      <c r="Y14" s="484"/>
      <c r="Z14" s="484"/>
      <c r="AA14" s="484"/>
      <c r="AB14" s="484"/>
    </row>
    <row r="15" spans="2:28" x14ac:dyDescent="0.3">
      <c r="B15" s="69" t="s">
        <v>120</v>
      </c>
      <c r="C15" s="47"/>
      <c r="D15" s="484">
        <f>IF(D13&lt;='SITE Model - INPUT PARAMETERS'!$C$42,PPMT('SITE Model - INPUT PARAMETERS'!$C$41,D13,'SITE Model - INPUT PARAMETERS'!$C$42,'SITE Model - INPUT PARAMETERS'!$C$40),0)</f>
        <v>-77819.163195155284</v>
      </c>
      <c r="E15" s="484">
        <f>IF(E13&lt;='SITE Model - INPUT PARAMETERS'!$C$42,PPMT('SITE Model - INPUT PARAMETERS'!$C$41,E13,'SITE Model - INPUT PARAMETERS'!$C$42,'SITE Model - INPUT PARAMETERS'!$C$40),0)</f>
        <v>-81710.121354913048</v>
      </c>
      <c r="F15" s="484">
        <f>IF(F13&lt;='SITE Model - INPUT PARAMETERS'!$C$42,PPMT('SITE Model - INPUT PARAMETERS'!$C$41,F13,'SITE Model - INPUT PARAMETERS'!$C$42,'SITE Model - INPUT PARAMETERS'!$C$40),0)</f>
        <v>-85795.627422658697</v>
      </c>
      <c r="G15" s="484">
        <f>IF(G13&lt;='SITE Model - INPUT PARAMETERS'!$C$42,PPMT('SITE Model - INPUT PARAMETERS'!$C$41,G13,'SITE Model - INPUT PARAMETERS'!$C$42,'SITE Model - INPUT PARAMETERS'!$C$40),0)</f>
        <v>-90085.408793791634</v>
      </c>
      <c r="H15" s="484">
        <f>IF(H13&lt;='SITE Model - INPUT PARAMETERS'!$C$42,PPMT('SITE Model - INPUT PARAMETERS'!$C$41,H13,'SITE Model - INPUT PARAMETERS'!$C$42,'SITE Model - INPUT PARAMETERS'!$C$40),0)</f>
        <v>-94589.67923348122</v>
      </c>
      <c r="I15" s="484">
        <f>IF(I13&lt;='SITE Model - INPUT PARAMETERS'!$C$42,PPMT('SITE Model - INPUT PARAMETERS'!$C$41,I13,'SITE Model - INPUT PARAMETERS'!$C$42,'SITE Model - INPUT PARAMETERS'!$C$40),0)</f>
        <v>0</v>
      </c>
      <c r="J15" s="484">
        <f>IF(J13&lt;='SITE Model - INPUT PARAMETERS'!$C$42,PPMT('SITE Model - INPUT PARAMETERS'!$C$41,J13,'SITE Model - INPUT PARAMETERS'!$C$42,'SITE Model - INPUT PARAMETERS'!$C$40),0)</f>
        <v>0</v>
      </c>
      <c r="K15" s="484">
        <f>IF(K13&lt;='SITE Model - INPUT PARAMETERS'!$C$42,PPMT('SITE Model - INPUT PARAMETERS'!$C$41,K13,'SITE Model - INPUT PARAMETERS'!$C$42,'SITE Model - INPUT PARAMETERS'!$C$40),0)</f>
        <v>0</v>
      </c>
      <c r="L15" s="484">
        <f>IF(L13&lt;='SITE Model - INPUT PARAMETERS'!$C$42,PPMT('SITE Model - INPUT PARAMETERS'!$C$41,L13,'SITE Model - INPUT PARAMETERS'!$C$42,'SITE Model - INPUT PARAMETERS'!$C$40),0)</f>
        <v>0</v>
      </c>
      <c r="M15" s="484">
        <f>IF(M13&lt;='SITE Model - INPUT PARAMETERS'!$C$42,PPMT('SITE Model - INPUT PARAMETERS'!$C$41,M13,'SITE Model - INPUT PARAMETERS'!$C$42,'SITE Model - INPUT PARAMETERS'!$C$40),0)</f>
        <v>0</v>
      </c>
      <c r="N15" s="484"/>
      <c r="O15" s="484"/>
      <c r="P15" s="484"/>
      <c r="Q15" s="484"/>
      <c r="R15" s="484"/>
      <c r="S15" s="484"/>
      <c r="T15" s="484"/>
      <c r="U15" s="484"/>
      <c r="V15" s="484"/>
      <c r="W15" s="484"/>
      <c r="X15" s="484"/>
      <c r="Y15" s="484"/>
      <c r="Z15" s="484"/>
      <c r="AA15" s="484"/>
      <c r="AB15" s="484"/>
    </row>
    <row r="16" spans="2:28" x14ac:dyDescent="0.3">
      <c r="B16" s="69" t="s">
        <v>121</v>
      </c>
      <c r="C16" s="47"/>
      <c r="D16" s="485">
        <f>D14-D15</f>
        <v>-21500</v>
      </c>
      <c r="E16" s="486">
        <f t="shared" ref="E16:M16" si="0">E14-E15</f>
        <v>-17609.041840242237</v>
      </c>
      <c r="F16" s="486">
        <f t="shared" si="0"/>
        <v>-13523.535772496587</v>
      </c>
      <c r="G16" s="486">
        <f t="shared" si="0"/>
        <v>-9233.7544013636507</v>
      </c>
      <c r="H16" s="486">
        <f t="shared" si="0"/>
        <v>-4729.4839616740646</v>
      </c>
      <c r="I16" s="486">
        <f t="shared" si="0"/>
        <v>0</v>
      </c>
      <c r="J16" s="486">
        <f t="shared" si="0"/>
        <v>0</v>
      </c>
      <c r="K16" s="486">
        <f t="shared" si="0"/>
        <v>0</v>
      </c>
      <c r="L16" s="486">
        <f t="shared" si="0"/>
        <v>0</v>
      </c>
      <c r="M16" s="486">
        <f t="shared" si="0"/>
        <v>0</v>
      </c>
      <c r="N16" s="486"/>
      <c r="O16" s="486"/>
      <c r="P16" s="486"/>
      <c r="Q16" s="486"/>
      <c r="R16" s="486"/>
      <c r="S16" s="486"/>
      <c r="T16" s="486"/>
      <c r="U16" s="486"/>
      <c r="V16" s="486"/>
      <c r="W16" s="486"/>
      <c r="X16" s="486"/>
      <c r="Y16" s="486"/>
      <c r="Z16" s="486"/>
      <c r="AA16" s="486"/>
      <c r="AB16" s="486"/>
    </row>
    <row r="17" spans="1:96" x14ac:dyDescent="0.3">
      <c r="B17" s="70" t="s">
        <v>122</v>
      </c>
      <c r="C17" s="55"/>
      <c r="D17" s="487">
        <f>'SITE Model - INPUT PARAMETERS'!C40+D15</f>
        <v>352180.83680484473</v>
      </c>
      <c r="E17" s="488">
        <f t="shared" ref="E17:M17" si="1">D17+E15</f>
        <v>270470.71544993168</v>
      </c>
      <c r="F17" s="488">
        <f t="shared" si="1"/>
        <v>184675.08802727298</v>
      </c>
      <c r="G17" s="488">
        <f t="shared" si="1"/>
        <v>94589.679233481351</v>
      </c>
      <c r="H17" s="488">
        <f t="shared" si="1"/>
        <v>1.3096723705530167E-10</v>
      </c>
      <c r="I17" s="488">
        <f t="shared" si="1"/>
        <v>1.3096723705530167E-10</v>
      </c>
      <c r="J17" s="488">
        <f t="shared" si="1"/>
        <v>1.3096723705530167E-10</v>
      </c>
      <c r="K17" s="488">
        <f t="shared" si="1"/>
        <v>1.3096723705530167E-10</v>
      </c>
      <c r="L17" s="488">
        <f t="shared" si="1"/>
        <v>1.3096723705530167E-10</v>
      </c>
      <c r="M17" s="488">
        <f t="shared" si="1"/>
        <v>1.3096723705530167E-10</v>
      </c>
      <c r="N17" s="488"/>
      <c r="O17" s="488"/>
      <c r="P17" s="488"/>
      <c r="Q17" s="488"/>
      <c r="R17" s="488"/>
      <c r="S17" s="488"/>
      <c r="T17" s="488"/>
      <c r="U17" s="488"/>
      <c r="V17" s="488"/>
      <c r="W17" s="488"/>
      <c r="X17" s="488"/>
      <c r="Y17" s="488"/>
      <c r="Z17" s="488"/>
      <c r="AA17" s="488"/>
      <c r="AB17" s="488"/>
    </row>
    <row r="18" spans="1:96" x14ac:dyDescent="0.3">
      <c r="B18" s="217"/>
      <c r="C18" s="47"/>
      <c r="D18" s="489"/>
      <c r="E18" s="490"/>
      <c r="F18" s="490"/>
      <c r="G18" s="490"/>
      <c r="H18" s="490"/>
      <c r="I18" s="490"/>
      <c r="J18" s="490"/>
      <c r="K18" s="490"/>
      <c r="L18" s="490"/>
      <c r="M18" s="490"/>
      <c r="N18" s="490"/>
      <c r="O18" s="490"/>
      <c r="P18" s="490"/>
      <c r="Q18" s="490"/>
      <c r="R18" s="490"/>
      <c r="S18" s="490"/>
      <c r="T18" s="490"/>
      <c r="U18" s="490"/>
      <c r="V18" s="490"/>
      <c r="W18" s="490"/>
      <c r="X18" s="490"/>
      <c r="Y18" s="490"/>
      <c r="Z18" s="490"/>
      <c r="AA18" s="490"/>
      <c r="AB18" s="490"/>
    </row>
    <row r="19" spans="1:96" x14ac:dyDescent="0.3">
      <c r="B19" s="231"/>
      <c r="D19" s="491"/>
      <c r="E19" s="491"/>
      <c r="F19" s="491"/>
      <c r="G19" s="491"/>
      <c r="H19" s="492"/>
      <c r="I19" s="492"/>
      <c r="J19" s="492"/>
      <c r="K19" s="492"/>
      <c r="L19" s="492"/>
      <c r="M19" s="493"/>
      <c r="N19" s="493"/>
      <c r="O19" s="493"/>
      <c r="P19" s="493"/>
      <c r="Q19" s="493"/>
      <c r="R19" s="493"/>
      <c r="S19" s="493"/>
      <c r="T19" s="493"/>
      <c r="U19" s="493"/>
      <c r="V19" s="493"/>
      <c r="W19" s="493"/>
      <c r="X19" s="494"/>
      <c r="Y19" s="494"/>
      <c r="Z19" s="494"/>
      <c r="AA19" s="494"/>
      <c r="AB19" s="494"/>
      <c r="AC19" s="14"/>
      <c r="AD19" s="14"/>
      <c r="AE19" s="14"/>
      <c r="AF19" s="14"/>
    </row>
    <row r="20" spans="1:96" x14ac:dyDescent="0.3">
      <c r="B20" s="68" t="s">
        <v>123</v>
      </c>
      <c r="C20" s="232"/>
      <c r="D20" s="499">
        <v>1</v>
      </c>
      <c r="E20" s="499">
        <v>2</v>
      </c>
      <c r="F20" s="499">
        <v>3</v>
      </c>
      <c r="G20" s="499">
        <v>4</v>
      </c>
      <c r="H20" s="499">
        <v>5</v>
      </c>
      <c r="I20" s="499">
        <v>6</v>
      </c>
      <c r="J20" s="499">
        <v>7</v>
      </c>
      <c r="K20" s="499">
        <v>8</v>
      </c>
      <c r="L20" s="499">
        <v>9</v>
      </c>
      <c r="M20" s="499">
        <v>10</v>
      </c>
      <c r="N20" s="499">
        <v>11</v>
      </c>
      <c r="O20" s="499">
        <v>12</v>
      </c>
      <c r="P20" s="499">
        <v>13</v>
      </c>
      <c r="Q20" s="499">
        <v>14</v>
      </c>
      <c r="R20" s="499">
        <v>15</v>
      </c>
      <c r="S20" s="499">
        <v>16</v>
      </c>
      <c r="T20" s="499">
        <v>17</v>
      </c>
      <c r="U20" s="499">
        <v>18</v>
      </c>
      <c r="V20" s="499">
        <v>19</v>
      </c>
      <c r="W20" s="499">
        <v>20</v>
      </c>
      <c r="X20" s="499">
        <v>21</v>
      </c>
      <c r="Y20" s="499">
        <v>22</v>
      </c>
      <c r="Z20" s="499">
        <v>23</v>
      </c>
      <c r="AA20" s="499">
        <v>24</v>
      </c>
      <c r="AB20" s="500">
        <v>25</v>
      </c>
      <c r="AC20" s="14"/>
      <c r="AD20" s="14"/>
      <c r="AE20" s="14"/>
      <c r="AF20" s="14"/>
    </row>
    <row r="21" spans="1:96" x14ac:dyDescent="0.3">
      <c r="B21" s="69" t="s">
        <v>119</v>
      </c>
      <c r="C21" s="233"/>
      <c r="D21" s="484">
        <f>IF(D20&lt;='SITE Model - INPUT PARAMETERS'!$C$45,PMT('SITE Model - INPUT PARAMETERS'!$C$44,'SITE Model - INPUT PARAMETERS'!$C$45,'SITE Model - INPUT PARAMETERS'!$C$43),0)</f>
        <v>-11231.355674651697</v>
      </c>
      <c r="E21" s="495">
        <f>IF(E20&lt;='SITE Model - INPUT PARAMETERS'!$C$45,PMT('SITE Model - INPUT PARAMETERS'!$C$44,'SITE Model - INPUT PARAMETERS'!$C$45,'SITE Model - INPUT PARAMETERS'!$C$43),0)</f>
        <v>-11231.355674651697</v>
      </c>
      <c r="F21" s="495">
        <f>IF(F20&lt;='SITE Model - INPUT PARAMETERS'!$C$45,PMT('SITE Model - INPUT PARAMETERS'!$C$44,'SITE Model - INPUT PARAMETERS'!$C$45,'SITE Model - INPUT PARAMETERS'!$C$43),0)</f>
        <v>-11231.355674651697</v>
      </c>
      <c r="G21" s="495">
        <f>IF(G20&lt;='SITE Model - INPUT PARAMETERS'!$C$45,PMT('SITE Model - INPUT PARAMETERS'!$C$44,'SITE Model - INPUT PARAMETERS'!$C$45,'SITE Model - INPUT PARAMETERS'!$C$43),0)</f>
        <v>-11231.355674651697</v>
      </c>
      <c r="H21" s="495">
        <f>IF(H20&lt;='SITE Model - INPUT PARAMETERS'!$C$45,PMT('SITE Model - INPUT PARAMETERS'!$C$44,'SITE Model - INPUT PARAMETERS'!$C$45,'SITE Model - INPUT PARAMETERS'!$C$43),0)</f>
        <v>-11231.355674651697</v>
      </c>
      <c r="I21" s="495">
        <f>IF(I20&lt;='SITE Model - INPUT PARAMETERS'!$C$45,PMT('SITE Model - INPUT PARAMETERS'!$C$44,'SITE Model - INPUT PARAMETERS'!$C$45,'SITE Model - INPUT PARAMETERS'!$C$43),0)</f>
        <v>0</v>
      </c>
      <c r="J21" s="495">
        <f>IF(J20&lt;='SITE Model - INPUT PARAMETERS'!$C$45,PMT('SITE Model - INPUT PARAMETERS'!$C$44,'SITE Model - INPUT PARAMETERS'!$C$45,'SITE Model - INPUT PARAMETERS'!$C$43),0)</f>
        <v>0</v>
      </c>
      <c r="K21" s="495">
        <f>IF(K20&lt;='SITE Model - INPUT PARAMETERS'!$C$45,PMT('SITE Model - INPUT PARAMETERS'!$C$44,'SITE Model - INPUT PARAMETERS'!$C$45,'SITE Model - INPUT PARAMETERS'!$C$43),0)</f>
        <v>0</v>
      </c>
      <c r="L21" s="495">
        <f>IF(L20&lt;='SITE Model - INPUT PARAMETERS'!$C$45,PMT('SITE Model - INPUT PARAMETERS'!$C$44,'SITE Model - INPUT PARAMETERS'!$C$45,'SITE Model - INPUT PARAMETERS'!$C$43),0)</f>
        <v>0</v>
      </c>
      <c r="M21" s="495">
        <f>IF(M20&lt;='SITE Model - INPUT PARAMETERS'!$C$45,PMT('SITE Model - INPUT PARAMETERS'!$C$44,'SITE Model - INPUT PARAMETERS'!$C$45,'SITE Model - INPUT PARAMETERS'!$C$43),0)</f>
        <v>0</v>
      </c>
      <c r="N21" s="495"/>
      <c r="O21" s="495"/>
      <c r="P21" s="495"/>
      <c r="Q21" s="495"/>
      <c r="R21" s="495"/>
      <c r="S21" s="495"/>
      <c r="T21" s="495"/>
      <c r="U21" s="495"/>
      <c r="V21" s="495"/>
      <c r="W21" s="495"/>
      <c r="X21" s="495"/>
      <c r="Y21" s="495"/>
      <c r="Z21" s="495"/>
      <c r="AA21" s="495"/>
      <c r="AB21" s="495"/>
      <c r="AC21" s="14"/>
      <c r="AD21" s="14"/>
      <c r="AE21" s="14"/>
      <c r="AF21" s="14"/>
    </row>
    <row r="22" spans="1:96" x14ac:dyDescent="0.3">
      <c r="B22" s="69" t="s">
        <v>120</v>
      </c>
      <c r="C22" s="233"/>
      <c r="D22" s="484">
        <f>IF(D20&lt;='SITE Model - INPUT PARAMETERS'!$C$45,PPMT('SITE Model - INPUT PARAMETERS'!$C$44,D20,'SITE Model - INPUT PARAMETERS'!$C$45,'SITE Model - INPUT PARAMETERS'!$C$43),0)</f>
        <v>-9231.355674651697</v>
      </c>
      <c r="E22" s="495">
        <f>IF(E20&lt;='SITE Model - INPUT PARAMETERS'!$C$45,PPMT('SITE Model - INPUT PARAMETERS'!$C$44,E20,'SITE Model - INPUT PARAMETERS'!$C$45,'SITE Model - INPUT PARAMETERS'!$C$43),0)</f>
        <v>-9600.609901637763</v>
      </c>
      <c r="F22" s="495">
        <f>IF(F20&lt;='SITE Model - INPUT PARAMETERS'!$C$45,PPMT('SITE Model - INPUT PARAMETERS'!$C$44,F20,'SITE Model - INPUT PARAMETERS'!$C$45,'SITE Model - INPUT PARAMETERS'!$C$43),0)</f>
        <v>-9984.6342977032746</v>
      </c>
      <c r="G22" s="495">
        <f>IF(G20&lt;='SITE Model - INPUT PARAMETERS'!$C$45,PPMT('SITE Model - INPUT PARAMETERS'!$C$44,G20,'SITE Model - INPUT PARAMETERS'!$C$45,'SITE Model - INPUT PARAMETERS'!$C$43),0)</f>
        <v>-10384.019669611405</v>
      </c>
      <c r="H22" s="495">
        <f>IF(H20&lt;='SITE Model - INPUT PARAMETERS'!$C$45,PPMT('SITE Model - INPUT PARAMETERS'!$C$44,H20,'SITE Model - INPUT PARAMETERS'!$C$45,'SITE Model - INPUT PARAMETERS'!$C$43),0)</f>
        <v>-10799.380456395862</v>
      </c>
      <c r="I22" s="495">
        <f>IF(I20&lt;='SITE Model - INPUT PARAMETERS'!$C$45,PPMT('SITE Model - INPUT PARAMETERS'!$C$44,I20,'SITE Model - INPUT PARAMETERS'!$C$45,'SITE Model - INPUT PARAMETERS'!$C$43),0)</f>
        <v>0</v>
      </c>
      <c r="J22" s="495">
        <f>IF(J20&lt;='SITE Model - INPUT PARAMETERS'!$C$45,PPMT('SITE Model - INPUT PARAMETERS'!$C$44,J20,'SITE Model - INPUT PARAMETERS'!$C$45,'SITE Model - INPUT PARAMETERS'!$C$43),0)</f>
        <v>0</v>
      </c>
      <c r="K22" s="495">
        <f>IF(K20&lt;='SITE Model - INPUT PARAMETERS'!$C$45,PPMT('SITE Model - INPUT PARAMETERS'!$C$44,K20,'SITE Model - INPUT PARAMETERS'!$C$45,'SITE Model - INPUT PARAMETERS'!$C$43),0)</f>
        <v>0</v>
      </c>
      <c r="L22" s="495">
        <f>IF(L20&lt;='SITE Model - INPUT PARAMETERS'!$C$45,PPMT('SITE Model - INPUT PARAMETERS'!$C$44,L20,'SITE Model - INPUT PARAMETERS'!$C$45,'SITE Model - INPUT PARAMETERS'!$C$43),0)</f>
        <v>0</v>
      </c>
      <c r="M22" s="495">
        <f>IF(M20&lt;='SITE Model - INPUT PARAMETERS'!$C$45,PPMT('SITE Model - INPUT PARAMETERS'!$C$44,M20,'SITE Model - INPUT PARAMETERS'!$C$45,'SITE Model - INPUT PARAMETERS'!$C$43),0)</f>
        <v>0</v>
      </c>
      <c r="N22" s="495"/>
      <c r="O22" s="495"/>
      <c r="P22" s="495"/>
      <c r="Q22" s="495"/>
      <c r="R22" s="495"/>
      <c r="S22" s="495"/>
      <c r="T22" s="495"/>
      <c r="U22" s="495"/>
      <c r="V22" s="495"/>
      <c r="W22" s="495"/>
      <c r="X22" s="495"/>
      <c r="Y22" s="495"/>
      <c r="Z22" s="495"/>
      <c r="AA22" s="495"/>
      <c r="AB22" s="495"/>
      <c r="AC22" s="14"/>
      <c r="AD22" s="14"/>
      <c r="AE22" s="14"/>
      <c r="AF22" s="14"/>
    </row>
    <row r="23" spans="1:96" x14ac:dyDescent="0.3">
      <c r="B23" s="234" t="s">
        <v>121</v>
      </c>
      <c r="C23" s="235"/>
      <c r="D23" s="485">
        <f>D21-D22</f>
        <v>-2000</v>
      </c>
      <c r="E23" s="486">
        <f t="shared" ref="E23:M23" si="2">E21-E22</f>
        <v>-1630.745773013934</v>
      </c>
      <c r="F23" s="486">
        <f t="shared" si="2"/>
        <v>-1246.7213769484224</v>
      </c>
      <c r="G23" s="486">
        <f t="shared" si="2"/>
        <v>-847.33600504029164</v>
      </c>
      <c r="H23" s="486">
        <f t="shared" si="2"/>
        <v>-431.97521825583499</v>
      </c>
      <c r="I23" s="486">
        <f t="shared" si="2"/>
        <v>0</v>
      </c>
      <c r="J23" s="486">
        <f t="shared" si="2"/>
        <v>0</v>
      </c>
      <c r="K23" s="486">
        <f t="shared" si="2"/>
        <v>0</v>
      </c>
      <c r="L23" s="486">
        <f t="shared" si="2"/>
        <v>0</v>
      </c>
      <c r="M23" s="486">
        <f t="shared" si="2"/>
        <v>0</v>
      </c>
      <c r="N23" s="486"/>
      <c r="O23" s="486"/>
      <c r="P23" s="486"/>
      <c r="Q23" s="486"/>
      <c r="R23" s="486"/>
      <c r="S23" s="486"/>
      <c r="T23" s="486"/>
      <c r="U23" s="486"/>
      <c r="V23" s="486"/>
      <c r="W23" s="486"/>
      <c r="X23" s="486"/>
      <c r="Y23" s="486"/>
      <c r="Z23" s="486"/>
      <c r="AA23" s="486"/>
      <c r="AB23" s="486"/>
      <c r="AC23" s="14"/>
      <c r="AD23" s="14"/>
      <c r="AE23" s="14"/>
      <c r="AF23" s="14"/>
    </row>
    <row r="24" spans="1:96" x14ac:dyDescent="0.3">
      <c r="B24" s="218" t="s">
        <v>122</v>
      </c>
      <c r="C24" s="55"/>
      <c r="D24" s="487">
        <f>'SITE Model - INPUT PARAMETERS'!C43+D22</f>
        <v>40768.644325348301</v>
      </c>
      <c r="E24" s="488">
        <f t="shared" ref="E24:M24" si="3">D24+E22</f>
        <v>31168.034423710538</v>
      </c>
      <c r="F24" s="488">
        <f t="shared" si="3"/>
        <v>21183.400126007262</v>
      </c>
      <c r="G24" s="488">
        <f t="shared" si="3"/>
        <v>10799.380456395857</v>
      </c>
      <c r="H24" s="488">
        <f t="shared" si="3"/>
        <v>0</v>
      </c>
      <c r="I24" s="488">
        <f t="shared" si="3"/>
        <v>0</v>
      </c>
      <c r="J24" s="488">
        <f t="shared" si="3"/>
        <v>0</v>
      </c>
      <c r="K24" s="488">
        <f t="shared" si="3"/>
        <v>0</v>
      </c>
      <c r="L24" s="488">
        <f t="shared" si="3"/>
        <v>0</v>
      </c>
      <c r="M24" s="488">
        <f t="shared" si="3"/>
        <v>0</v>
      </c>
      <c r="N24" s="488"/>
      <c r="O24" s="488"/>
      <c r="P24" s="488"/>
      <c r="Q24" s="488"/>
      <c r="R24" s="488"/>
      <c r="S24" s="488"/>
      <c r="T24" s="488"/>
      <c r="U24" s="488"/>
      <c r="V24" s="488"/>
      <c r="W24" s="488"/>
      <c r="X24" s="488"/>
      <c r="Y24" s="488"/>
      <c r="Z24" s="488"/>
      <c r="AA24" s="488"/>
      <c r="AB24" s="488"/>
      <c r="AC24" s="14"/>
      <c r="AD24" s="14"/>
      <c r="AE24" s="14"/>
      <c r="AF24" s="14"/>
    </row>
    <row r="25" spans="1:96" x14ac:dyDescent="0.3">
      <c r="B25" s="223"/>
      <c r="C25" s="219"/>
      <c r="D25" s="484"/>
      <c r="E25" s="495"/>
      <c r="F25" s="495"/>
      <c r="G25" s="495"/>
      <c r="H25" s="495"/>
      <c r="I25" s="495"/>
      <c r="J25" s="495"/>
      <c r="K25" s="495"/>
      <c r="L25" s="495"/>
      <c r="M25" s="495"/>
      <c r="N25" s="495"/>
      <c r="O25" s="495"/>
      <c r="P25" s="495"/>
      <c r="Q25" s="495"/>
      <c r="R25" s="495"/>
      <c r="S25" s="495"/>
      <c r="T25" s="495"/>
      <c r="U25" s="495"/>
      <c r="V25" s="495"/>
      <c r="W25" s="495"/>
      <c r="X25" s="495"/>
      <c r="Y25" s="495"/>
      <c r="Z25" s="495"/>
      <c r="AA25" s="495"/>
      <c r="AB25" s="496"/>
      <c r="AC25" s="14"/>
      <c r="AD25" s="14"/>
      <c r="AE25" s="14"/>
      <c r="AF25" s="14"/>
    </row>
    <row r="26" spans="1:96" x14ac:dyDescent="0.3">
      <c r="B26" s="222"/>
      <c r="C26" s="219"/>
      <c r="D26" s="484"/>
      <c r="E26" s="484"/>
      <c r="F26" s="484"/>
      <c r="G26" s="484"/>
      <c r="H26" s="484"/>
      <c r="I26" s="484"/>
      <c r="J26" s="484"/>
      <c r="K26" s="484"/>
      <c r="L26" s="484"/>
      <c r="M26" s="484"/>
      <c r="N26" s="484"/>
      <c r="O26" s="484"/>
      <c r="P26" s="484"/>
      <c r="Q26" s="484"/>
      <c r="R26" s="484"/>
      <c r="S26" s="484"/>
      <c r="T26" s="484"/>
      <c r="U26" s="484"/>
      <c r="V26" s="484"/>
      <c r="W26" s="484"/>
      <c r="X26" s="484"/>
      <c r="Y26" s="484"/>
      <c r="Z26" s="484"/>
      <c r="AA26" s="484"/>
      <c r="AB26" s="497"/>
      <c r="AC26" s="14"/>
      <c r="AD26" s="14"/>
      <c r="AE26" s="14"/>
      <c r="AF26" s="14"/>
    </row>
    <row r="27" spans="1:96" x14ac:dyDescent="0.3">
      <c r="B27" s="221" t="s">
        <v>124</v>
      </c>
      <c r="C27" s="29"/>
      <c r="D27" s="499">
        <v>1</v>
      </c>
      <c r="E27" s="499">
        <v>2</v>
      </c>
      <c r="F27" s="499">
        <v>3</v>
      </c>
      <c r="G27" s="499">
        <v>4</v>
      </c>
      <c r="H27" s="499">
        <v>5</v>
      </c>
      <c r="I27" s="499">
        <v>6</v>
      </c>
      <c r="J27" s="499">
        <v>7</v>
      </c>
      <c r="K27" s="499">
        <v>8</v>
      </c>
      <c r="L27" s="499">
        <v>9</v>
      </c>
      <c r="M27" s="499">
        <v>10</v>
      </c>
      <c r="N27" s="499">
        <v>11</v>
      </c>
      <c r="O27" s="499">
        <v>12</v>
      </c>
      <c r="P27" s="499">
        <v>13</v>
      </c>
      <c r="Q27" s="499">
        <v>14</v>
      </c>
      <c r="R27" s="499">
        <v>15</v>
      </c>
      <c r="S27" s="499">
        <v>16</v>
      </c>
      <c r="T27" s="499">
        <v>17</v>
      </c>
      <c r="U27" s="499">
        <v>18</v>
      </c>
      <c r="V27" s="499">
        <v>19</v>
      </c>
      <c r="W27" s="499">
        <v>20</v>
      </c>
      <c r="X27" s="499">
        <v>21</v>
      </c>
      <c r="Y27" s="499">
        <v>22</v>
      </c>
      <c r="Z27" s="499">
        <v>23</v>
      </c>
      <c r="AA27" s="499">
        <v>24</v>
      </c>
      <c r="AB27" s="500">
        <v>25</v>
      </c>
    </row>
    <row r="28" spans="1:96" x14ac:dyDescent="0.3">
      <c r="B28" s="69" t="s">
        <v>119</v>
      </c>
      <c r="C28" s="47"/>
      <c r="D28" s="484">
        <f>+D14+D21</f>
        <v>-110550.51886980698</v>
      </c>
      <c r="E28" s="484">
        <f t="shared" ref="E28:M28" si="4">+E14+E21</f>
        <v>-110550.51886980698</v>
      </c>
      <c r="F28" s="484">
        <f t="shared" si="4"/>
        <v>-110550.51886980698</v>
      </c>
      <c r="G28" s="484">
        <f t="shared" si="4"/>
        <v>-110550.51886980698</v>
      </c>
      <c r="H28" s="484">
        <f t="shared" si="4"/>
        <v>-110550.51886980698</v>
      </c>
      <c r="I28" s="484">
        <f t="shared" si="4"/>
        <v>0</v>
      </c>
      <c r="J28" s="484">
        <f t="shared" si="4"/>
        <v>0</v>
      </c>
      <c r="K28" s="484">
        <f t="shared" si="4"/>
        <v>0</v>
      </c>
      <c r="L28" s="484">
        <f t="shared" si="4"/>
        <v>0</v>
      </c>
      <c r="M28" s="484">
        <f t="shared" si="4"/>
        <v>0</v>
      </c>
      <c r="N28" s="484"/>
      <c r="O28" s="484"/>
      <c r="P28" s="484"/>
      <c r="Q28" s="484"/>
      <c r="R28" s="484"/>
      <c r="S28" s="484"/>
      <c r="T28" s="484"/>
      <c r="U28" s="484"/>
      <c r="V28" s="484"/>
      <c r="W28" s="484"/>
      <c r="X28" s="484"/>
      <c r="Y28" s="484"/>
      <c r="Z28" s="484"/>
      <c r="AA28" s="484"/>
      <c r="AB28" s="484"/>
      <c r="AC28" s="14"/>
      <c r="AD28" s="14"/>
      <c r="AE28" s="14"/>
      <c r="AF28" s="14"/>
    </row>
    <row r="29" spans="1:96" x14ac:dyDescent="0.3">
      <c r="B29" s="69" t="s">
        <v>120</v>
      </c>
      <c r="C29" s="47"/>
      <c r="D29" s="484">
        <f>+D15+D22</f>
        <v>-87050.518869806983</v>
      </c>
      <c r="E29" s="484">
        <f t="shared" ref="E29:M29" si="5">+E15+E22</f>
        <v>-91310.731256550818</v>
      </c>
      <c r="F29" s="484">
        <f t="shared" si="5"/>
        <v>-95780.261720361974</v>
      </c>
      <c r="G29" s="484">
        <f t="shared" si="5"/>
        <v>-100469.42846340303</v>
      </c>
      <c r="H29" s="484">
        <f t="shared" si="5"/>
        <v>-105389.05968987709</v>
      </c>
      <c r="I29" s="484">
        <f t="shared" si="5"/>
        <v>0</v>
      </c>
      <c r="J29" s="484">
        <f t="shared" si="5"/>
        <v>0</v>
      </c>
      <c r="K29" s="484">
        <f t="shared" si="5"/>
        <v>0</v>
      </c>
      <c r="L29" s="484">
        <f t="shared" si="5"/>
        <v>0</v>
      </c>
      <c r="M29" s="484">
        <f t="shared" si="5"/>
        <v>0</v>
      </c>
      <c r="N29" s="484"/>
      <c r="O29" s="484"/>
      <c r="P29" s="484"/>
      <c r="Q29" s="484"/>
      <c r="R29" s="484"/>
      <c r="S29" s="484"/>
      <c r="T29" s="484"/>
      <c r="U29" s="484"/>
      <c r="V29" s="484"/>
      <c r="W29" s="484"/>
      <c r="X29" s="484"/>
      <c r="Y29" s="484"/>
      <c r="Z29" s="484"/>
      <c r="AA29" s="484"/>
      <c r="AB29" s="484"/>
    </row>
    <row r="30" spans="1:96" x14ac:dyDescent="0.3">
      <c r="B30" s="69" t="s">
        <v>121</v>
      </c>
      <c r="C30" s="47"/>
      <c r="D30" s="484">
        <f>+D16+D23</f>
        <v>-23500</v>
      </c>
      <c r="E30" s="484">
        <f t="shared" ref="E30:M30" si="6">+E16+E23</f>
        <v>-19239.787613256172</v>
      </c>
      <c r="F30" s="484">
        <f t="shared" si="6"/>
        <v>-14770.257149445009</v>
      </c>
      <c r="G30" s="484">
        <f t="shared" si="6"/>
        <v>-10081.090406403942</v>
      </c>
      <c r="H30" s="484">
        <f t="shared" si="6"/>
        <v>-5161.4591799298996</v>
      </c>
      <c r="I30" s="484">
        <f t="shared" si="6"/>
        <v>0</v>
      </c>
      <c r="J30" s="484">
        <f t="shared" si="6"/>
        <v>0</v>
      </c>
      <c r="K30" s="484">
        <f t="shared" si="6"/>
        <v>0</v>
      </c>
      <c r="L30" s="484">
        <f t="shared" si="6"/>
        <v>0</v>
      </c>
      <c r="M30" s="484">
        <f t="shared" si="6"/>
        <v>0</v>
      </c>
      <c r="N30" s="484"/>
      <c r="O30" s="484"/>
      <c r="P30" s="484"/>
      <c r="Q30" s="484"/>
      <c r="R30" s="484"/>
      <c r="S30" s="484"/>
      <c r="T30" s="484"/>
      <c r="U30" s="484"/>
      <c r="V30" s="484"/>
      <c r="W30" s="484"/>
      <c r="X30" s="484"/>
      <c r="Y30" s="484"/>
      <c r="Z30" s="484"/>
      <c r="AA30" s="484"/>
      <c r="AB30" s="484"/>
      <c r="AC30" s="15"/>
      <c r="AD30" s="15"/>
      <c r="AE30" s="15"/>
      <c r="AF30" s="15"/>
    </row>
    <row r="31" spans="1:96" s="16" customFormat="1" x14ac:dyDescent="0.3">
      <c r="A31" s="27"/>
      <c r="B31" s="70" t="s">
        <v>122</v>
      </c>
      <c r="C31" s="220"/>
      <c r="D31" s="498">
        <f>+D17+D24</f>
        <v>392949.48113019305</v>
      </c>
      <c r="E31" s="487">
        <f t="shared" ref="E31:M31" si="7">+E17+E24</f>
        <v>301638.74987364223</v>
      </c>
      <c r="F31" s="487">
        <f t="shared" si="7"/>
        <v>205858.48815328025</v>
      </c>
      <c r="G31" s="487">
        <f t="shared" si="7"/>
        <v>105389.05968987721</v>
      </c>
      <c r="H31" s="487">
        <f t="shared" si="7"/>
        <v>1.3096723705530167E-10</v>
      </c>
      <c r="I31" s="487">
        <f t="shared" si="7"/>
        <v>1.3096723705530167E-10</v>
      </c>
      <c r="J31" s="487">
        <f t="shared" si="7"/>
        <v>1.3096723705530167E-10</v>
      </c>
      <c r="K31" s="487">
        <f t="shared" si="7"/>
        <v>1.3096723705530167E-10</v>
      </c>
      <c r="L31" s="487">
        <f t="shared" si="7"/>
        <v>1.3096723705530167E-10</v>
      </c>
      <c r="M31" s="487">
        <f t="shared" si="7"/>
        <v>1.3096723705530167E-10</v>
      </c>
      <c r="N31" s="487"/>
      <c r="O31" s="487"/>
      <c r="P31" s="487"/>
      <c r="Q31" s="487"/>
      <c r="R31" s="487"/>
      <c r="S31" s="487"/>
      <c r="T31" s="487"/>
      <c r="U31" s="487"/>
      <c r="V31" s="487"/>
      <c r="W31" s="487"/>
      <c r="X31" s="487"/>
      <c r="Y31" s="487"/>
      <c r="Z31" s="487"/>
      <c r="AA31" s="487"/>
      <c r="AB31" s="487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</row>
    <row r="34" spans="2:32" ht="15" thickBot="1" x14ac:dyDescent="0.35">
      <c r="B34" s="71"/>
      <c r="D34" s="12"/>
      <c r="E34" s="12"/>
      <c r="F34" s="12"/>
      <c r="G34" s="12"/>
      <c r="H34" s="12"/>
      <c r="I34" s="12"/>
      <c r="J34" s="12"/>
      <c r="K34" s="12"/>
      <c r="L34" s="12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34"/>
      <c r="Y34" s="34"/>
      <c r="Z34" s="34"/>
      <c r="AA34" s="34"/>
      <c r="AB34" s="34"/>
    </row>
    <row r="35" spans="2:32" s="11" customFormat="1" ht="24" customHeight="1" x14ac:dyDescent="0.3">
      <c r="B35" s="72" t="s">
        <v>125</v>
      </c>
      <c r="C35" s="40"/>
      <c r="D35" s="36">
        <v>1</v>
      </c>
      <c r="E35" s="36">
        <f>D35+1</f>
        <v>2</v>
      </c>
      <c r="F35" s="36">
        <f t="shared" ref="F35:AB35" si="8">E35+1</f>
        <v>3</v>
      </c>
      <c r="G35" s="36">
        <f t="shared" si="8"/>
        <v>4</v>
      </c>
      <c r="H35" s="36">
        <f t="shared" si="8"/>
        <v>5</v>
      </c>
      <c r="I35" s="36">
        <f t="shared" si="8"/>
        <v>6</v>
      </c>
      <c r="J35" s="36">
        <f t="shared" si="8"/>
        <v>7</v>
      </c>
      <c r="K35" s="36">
        <f>J35+1</f>
        <v>8</v>
      </c>
      <c r="L35" s="36">
        <f t="shared" si="8"/>
        <v>9</v>
      </c>
      <c r="M35" s="36">
        <f t="shared" si="8"/>
        <v>10</v>
      </c>
      <c r="N35" s="36">
        <f t="shared" si="8"/>
        <v>11</v>
      </c>
      <c r="O35" s="36">
        <f t="shared" si="8"/>
        <v>12</v>
      </c>
      <c r="P35" s="36">
        <f t="shared" si="8"/>
        <v>13</v>
      </c>
      <c r="Q35" s="36">
        <f t="shared" si="8"/>
        <v>14</v>
      </c>
      <c r="R35" s="36">
        <f t="shared" si="8"/>
        <v>15</v>
      </c>
      <c r="S35" s="36">
        <f>R35+1</f>
        <v>16</v>
      </c>
      <c r="T35" s="36">
        <f>S35+1</f>
        <v>17</v>
      </c>
      <c r="U35" s="36">
        <f t="shared" si="8"/>
        <v>18</v>
      </c>
      <c r="V35" s="36">
        <f t="shared" si="8"/>
        <v>19</v>
      </c>
      <c r="W35" s="37">
        <f t="shared" si="8"/>
        <v>20</v>
      </c>
      <c r="X35" s="37">
        <f t="shared" si="8"/>
        <v>21</v>
      </c>
      <c r="Y35" s="37">
        <f t="shared" si="8"/>
        <v>22</v>
      </c>
      <c r="Z35" s="37">
        <f t="shared" si="8"/>
        <v>23</v>
      </c>
      <c r="AA35" s="37">
        <f t="shared" si="8"/>
        <v>24</v>
      </c>
      <c r="AB35" s="37">
        <f t="shared" si="8"/>
        <v>25</v>
      </c>
      <c r="AC35" s="1"/>
      <c r="AD35" s="1"/>
      <c r="AE35" s="1"/>
      <c r="AF35" s="1"/>
    </row>
    <row r="36" spans="2:32" s="11" customFormat="1" ht="16.8" thickBot="1" x14ac:dyDescent="0.35">
      <c r="B36" s="73"/>
      <c r="C36" s="41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3"/>
      <c r="X36" s="43"/>
      <c r="Y36" s="43"/>
      <c r="Z36" s="43"/>
      <c r="AA36" s="43"/>
      <c r="AB36" s="43"/>
      <c r="AC36" s="1"/>
      <c r="AD36" s="1"/>
      <c r="AE36" s="1"/>
      <c r="AF36" s="1"/>
    </row>
    <row r="37" spans="2:32" x14ac:dyDescent="0.3">
      <c r="B37" s="74"/>
      <c r="C37" s="17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9"/>
      <c r="X37" s="39"/>
      <c r="Y37" s="39"/>
      <c r="Z37" s="39"/>
      <c r="AA37" s="39"/>
      <c r="AB37" s="39"/>
    </row>
    <row r="38" spans="2:32" s="90" customFormat="1" ht="2.25" hidden="1" customHeight="1" x14ac:dyDescent="0.3">
      <c r="B38" s="91" t="s">
        <v>126</v>
      </c>
      <c r="C38" s="92"/>
      <c r="D38" s="93">
        <v>1</v>
      </c>
      <c r="E38" s="93">
        <v>1</v>
      </c>
      <c r="F38" s="93">
        <v>1</v>
      </c>
      <c r="G38" s="93">
        <v>1</v>
      </c>
      <c r="H38" s="93">
        <v>1</v>
      </c>
      <c r="I38" s="93">
        <v>1</v>
      </c>
      <c r="J38" s="93">
        <v>1</v>
      </c>
      <c r="K38" s="93">
        <v>1</v>
      </c>
      <c r="L38" s="93">
        <v>1</v>
      </c>
      <c r="M38" s="93">
        <v>1</v>
      </c>
      <c r="N38" s="93">
        <v>1</v>
      </c>
      <c r="O38" s="93">
        <v>1</v>
      </c>
      <c r="P38" s="93">
        <v>1</v>
      </c>
      <c r="Q38" s="93">
        <v>1</v>
      </c>
      <c r="R38" s="93">
        <v>1</v>
      </c>
      <c r="S38" s="93">
        <v>1</v>
      </c>
      <c r="T38" s="93">
        <v>1</v>
      </c>
      <c r="U38" s="93">
        <v>1</v>
      </c>
      <c r="V38" s="93">
        <v>1</v>
      </c>
      <c r="W38" s="93">
        <v>1</v>
      </c>
      <c r="X38" s="93">
        <v>1</v>
      </c>
      <c r="Y38" s="93">
        <v>1</v>
      </c>
      <c r="Z38" s="93">
        <v>1</v>
      </c>
      <c r="AA38" s="93">
        <v>1</v>
      </c>
      <c r="AB38" s="93">
        <v>1</v>
      </c>
    </row>
    <row r="39" spans="2:32" s="2" customFormat="1" ht="22.5" customHeight="1" x14ac:dyDescent="0.3">
      <c r="B39" s="326" t="s">
        <v>127</v>
      </c>
      <c r="C39" s="305"/>
      <c r="D39" s="373">
        <f t="shared" ref="D39:AB39" si="9">SUM(D40:D42)</f>
        <v>2095200</v>
      </c>
      <c r="E39" s="373">
        <f t="shared" si="9"/>
        <v>4024872</v>
      </c>
      <c r="F39" s="373">
        <f t="shared" si="9"/>
        <v>5958624.7200000007</v>
      </c>
      <c r="G39" s="373">
        <f>SUM(G40:G42)</f>
        <v>7867344.7200000007</v>
      </c>
      <c r="H39" s="373">
        <f t="shared" si="9"/>
        <v>10047618.241752001</v>
      </c>
      <c r="I39" s="373">
        <f t="shared" si="9"/>
        <v>10148094.42416952</v>
      </c>
      <c r="J39" s="373">
        <f t="shared" si="9"/>
        <v>10249575.368411215</v>
      </c>
      <c r="K39" s="373">
        <f t="shared" si="9"/>
        <v>10352071.122095326</v>
      </c>
      <c r="L39" s="373">
        <f t="shared" si="9"/>
        <v>10455591.83331628</v>
      </c>
      <c r="M39" s="373">
        <f t="shared" si="9"/>
        <v>10560147.751649445</v>
      </c>
      <c r="N39" s="373">
        <f t="shared" si="9"/>
        <v>10665749.229165938</v>
      </c>
      <c r="O39" s="373">
        <f t="shared" si="9"/>
        <v>10772406.721457597</v>
      </c>
      <c r="P39" s="373">
        <f t="shared" si="9"/>
        <v>10880130.788672173</v>
      </c>
      <c r="Q39" s="373">
        <f t="shared" si="9"/>
        <v>10988932.096558895</v>
      </c>
      <c r="R39" s="373">
        <f t="shared" si="9"/>
        <v>11098821.417524483</v>
      </c>
      <c r="S39" s="373">
        <f t="shared" si="9"/>
        <v>11209809.63169973</v>
      </c>
      <c r="T39" s="373">
        <f t="shared" si="9"/>
        <v>11321907.728016727</v>
      </c>
      <c r="U39" s="373">
        <f t="shared" si="9"/>
        <v>11435126.805296894</v>
      </c>
      <c r="V39" s="373">
        <f t="shared" si="9"/>
        <v>11549478.073349861</v>
      </c>
      <c r="W39" s="373">
        <f t="shared" si="9"/>
        <v>11664972.854083359</v>
      </c>
      <c r="X39" s="373">
        <f t="shared" si="9"/>
        <v>11781622.582624193</v>
      </c>
      <c r="Y39" s="373">
        <f t="shared" si="9"/>
        <v>11899438.808450436</v>
      </c>
      <c r="Z39" s="373">
        <f t="shared" si="9"/>
        <v>12018433.196534941</v>
      </c>
      <c r="AA39" s="373">
        <f t="shared" si="9"/>
        <v>12138617.528500289</v>
      </c>
      <c r="AB39" s="373">
        <f t="shared" si="9"/>
        <v>12260003.703785291</v>
      </c>
      <c r="AC39" s="230"/>
      <c r="AD39" s="109"/>
      <c r="AE39" s="1"/>
      <c r="AF39" s="1"/>
    </row>
    <row r="40" spans="2:32" s="2" customFormat="1" ht="19.5" customHeight="1" x14ac:dyDescent="0.3">
      <c r="B40" s="379" t="s">
        <v>128</v>
      </c>
      <c r="C40" s="17"/>
      <c r="D40" s="333">
        <f>+'Site Geneva revenues A'!D18+'Site Geneva revenues B'!D21+'Site Geneva revenues C'!D21</f>
        <v>1708080</v>
      </c>
      <c r="E40" s="333">
        <f>+'Site Geneva revenues A'!E18+'Site Geneva revenues B'!E21+'Site Geneva revenues C'!E21+'Site Zurich revenues A '!E18+'Site Zurch revenues B '!E18+'Site Zurich revenues C '!E18</f>
        <v>3246760.8</v>
      </c>
      <c r="F40" s="333">
        <f>+'Site Geneva revenues A'!F18+'Site Geneva revenues B'!F21+'Site Geneva revenues C'!F21+'Site Zurich revenues A '!E18+'Site Zurch revenues B '!E18+'Site Zurich revenues C '!E18+'Site Loc 3 revenues A  '!F18+'Site Loc 3 revenues B  '!F18+'Site Loc 3 revenues C '!F18</f>
        <v>4785612.4079999998</v>
      </c>
      <c r="G40" s="333">
        <f>F40+'Site Loc 4 revenues A   '!G18+'Site Loc 4 revenues B   '!G18+'Site Loc 4 revenues C  '!G18</f>
        <v>6307212.4079999998</v>
      </c>
      <c r="H40" s="333">
        <f>+'Site Geneva revenues A'!H18+'Site Geneva revenues B'!H21+'Site Geneva revenues C'!H21+G40</f>
        <v>8084647.3054008</v>
      </c>
      <c r="I40" s="333">
        <f>H40*(1+'SITE Model - INPUT PARAMETERS'!$C$29)</f>
        <v>8165493.7784548076</v>
      </c>
      <c r="J40" s="333">
        <f>I40*(1+'SITE Model - INPUT PARAMETERS'!$C$29)</f>
        <v>8247148.7162393555</v>
      </c>
      <c r="K40" s="333">
        <f>J40*(1+'SITE Model - INPUT PARAMETERS'!$C$29)</f>
        <v>8329620.203401749</v>
      </c>
      <c r="L40" s="333">
        <f>K40*(1+'SITE Model - INPUT PARAMETERS'!$C$29)</f>
        <v>8412916.405435767</v>
      </c>
      <c r="M40" s="333">
        <f>L40*(1+'SITE Model - INPUT PARAMETERS'!$C$29)</f>
        <v>8497045.5694901254</v>
      </c>
      <c r="N40" s="333">
        <f>M40*(1+'SITE Model - INPUT PARAMETERS'!$C$29)</f>
        <v>8582016.0251850262</v>
      </c>
      <c r="O40" s="333">
        <f>N40*(1+'SITE Model - INPUT PARAMETERS'!$C$29)</f>
        <v>8667836.1854368765</v>
      </c>
      <c r="P40" s="333">
        <f>O40*(1+'SITE Model - INPUT PARAMETERS'!$C$29)</f>
        <v>8754514.5472912453</v>
      </c>
      <c r="Q40" s="333">
        <f>P40*(1+'SITE Model - INPUT PARAMETERS'!$C$29)</f>
        <v>8842059.6927641574</v>
      </c>
      <c r="R40" s="333">
        <f>Q40*(1+'SITE Model - INPUT PARAMETERS'!$C$29)</f>
        <v>8930480.2896917984</v>
      </c>
      <c r="S40" s="333">
        <f>R40*(1+'SITE Model - INPUT PARAMETERS'!$C$29)</f>
        <v>9019785.0925887171</v>
      </c>
      <c r="T40" s="333">
        <f>S40*(1+'SITE Model - INPUT PARAMETERS'!$C$29)</f>
        <v>9109982.9435146041</v>
      </c>
      <c r="U40" s="333">
        <f>T40*(1+'SITE Model - INPUT PARAMETERS'!$C$29)</f>
        <v>9201082.7729497496</v>
      </c>
      <c r="V40" s="333">
        <f>U40*(1+'SITE Model - INPUT PARAMETERS'!$C$29)</f>
        <v>9293093.6006792467</v>
      </c>
      <c r="W40" s="333">
        <f>V40*(1+'SITE Model - INPUT PARAMETERS'!$C$29)</f>
        <v>9386024.5366860386</v>
      </c>
      <c r="X40" s="333">
        <f>W40*(1+'SITE Model - INPUT PARAMETERS'!$C$29)</f>
        <v>9479884.7820528988</v>
      </c>
      <c r="Y40" s="333">
        <f>X40*(1+'SITE Model - INPUT PARAMETERS'!$C$29)</f>
        <v>9574683.6298734285</v>
      </c>
      <c r="Z40" s="333">
        <f>Y40*(1+'SITE Model - INPUT PARAMETERS'!$C$29)</f>
        <v>9670430.4661721624</v>
      </c>
      <c r="AA40" s="333">
        <f>Z40*(1+'SITE Model - INPUT PARAMETERS'!$C$29)</f>
        <v>9767134.7708338834</v>
      </c>
      <c r="AB40" s="333">
        <f>AA40*(1+'SITE Model - INPUT PARAMETERS'!$C$29)</f>
        <v>9864806.1185422223</v>
      </c>
      <c r="AC40" s="230"/>
      <c r="AD40" s="109"/>
      <c r="AE40" s="1"/>
      <c r="AF40" s="1"/>
    </row>
    <row r="41" spans="2:32" s="2" customFormat="1" ht="15.75" customHeight="1" x14ac:dyDescent="0.3">
      <c r="B41" s="379" t="s">
        <v>129</v>
      </c>
      <c r="C41" s="17"/>
      <c r="D41" s="333">
        <f>+'Site Geneva revenues A'!D19+'Site Geneva revenues B'!D19+'Site Geneva revenues C'!D19</f>
        <v>213600</v>
      </c>
      <c r="E41" s="333">
        <f>+'Site Geneva revenues A'!E19+'Site Geneva revenues B'!E19+'Site Geneva revenues C'!E19+'Site Zurich revenues A '!E19+'Site Zurch revenues B '!E19+'Site Zurich revenues C '!E19</f>
        <v>429336</v>
      </c>
      <c r="F41" s="333">
        <f>+'Site Geneva revenues A'!F19+'Site Geneva revenues B'!F19+'Site Geneva revenues C'!F19+'Site Zurich revenues A '!F19+'Site Zurch revenues B '!F19+'Site Zurich revenues C '!F19+'Site Loc 3 revenues A  '!F19+'Site Loc 3 revenues B  '!F19+'Site Loc 3 revenues C '!F19</f>
        <v>647229.36</v>
      </c>
      <c r="G41" s="333">
        <f>F41+'Site Loc 4 revenues A   '!G19+'Site Loc 4 revenues B   '!G19+'Site Loc 4 revenues C  '!G19</f>
        <v>860829.36</v>
      </c>
      <c r="H41" s="333">
        <f>+'Site Geneva revenues A'!H19+'Site Geneva revenues B'!H19+'Site Geneva revenues C'!H19+G41</f>
        <v>1083102.3765360001</v>
      </c>
      <c r="I41" s="333">
        <f>H41*(1+'SITE Model - INPUT PARAMETERS'!$C$29)</f>
        <v>1093933.4003013601</v>
      </c>
      <c r="J41" s="333">
        <f>I41*(1+'SITE Model - INPUT PARAMETERS'!$C$29)</f>
        <v>1104872.7343043736</v>
      </c>
      <c r="K41" s="333">
        <f>J41*(1+'SITE Model - INPUT PARAMETERS'!$C$29)</f>
        <v>1115921.4616474174</v>
      </c>
      <c r="L41" s="333">
        <f>K41*(1+'SITE Model - INPUT PARAMETERS'!$C$29)</f>
        <v>1127080.6762638916</v>
      </c>
      <c r="M41" s="333">
        <f>L41*(1+'SITE Model - INPUT PARAMETERS'!$C$29)</f>
        <v>1138351.4830265306</v>
      </c>
      <c r="N41" s="333">
        <f>M41*(1+'SITE Model - INPUT PARAMETERS'!$C$29)</f>
        <v>1149734.997856796</v>
      </c>
      <c r="O41" s="333">
        <f>N41*(1+'SITE Model - INPUT PARAMETERS'!$C$29)</f>
        <v>1161232.3478353641</v>
      </c>
      <c r="P41" s="333">
        <f>O41*(1+'SITE Model - INPUT PARAMETERS'!$C$29)</f>
        <v>1172844.6713137177</v>
      </c>
      <c r="Q41" s="333">
        <f>P41*(1+'SITE Model - INPUT PARAMETERS'!$C$29)</f>
        <v>1184573.1180268549</v>
      </c>
      <c r="R41" s="333">
        <f>Q41*(1+'SITE Model - INPUT PARAMETERS'!$C$29)</f>
        <v>1196418.8492071235</v>
      </c>
      <c r="S41" s="333">
        <f>R41*(1+'SITE Model - INPUT PARAMETERS'!$C$29)</f>
        <v>1208383.0376991949</v>
      </c>
      <c r="T41" s="333">
        <f>S41*(1+'SITE Model - INPUT PARAMETERS'!$C$29)</f>
        <v>1220466.8680761869</v>
      </c>
      <c r="U41" s="333">
        <f>T41*(1+'SITE Model - INPUT PARAMETERS'!$C$29)</f>
        <v>1232671.5367569488</v>
      </c>
      <c r="V41" s="333">
        <f>U41*(1+'SITE Model - INPUT PARAMETERS'!$C$29)</f>
        <v>1244998.2521245184</v>
      </c>
      <c r="W41" s="333">
        <f>V41*(1+'SITE Model - INPUT PARAMETERS'!$C$29)</f>
        <v>1257448.2346457636</v>
      </c>
      <c r="X41" s="333">
        <f>W41*(1+'SITE Model - INPUT PARAMETERS'!$C$29)</f>
        <v>1270022.7169922213</v>
      </c>
      <c r="Y41" s="333">
        <f>X41*(1+'SITE Model - INPUT PARAMETERS'!$C$29)</f>
        <v>1282722.9441621436</v>
      </c>
      <c r="Z41" s="333">
        <f>Y41*(1+'SITE Model - INPUT PARAMETERS'!$C$29)</f>
        <v>1295550.173603765</v>
      </c>
      <c r="AA41" s="333">
        <f>Z41*(1+'SITE Model - INPUT PARAMETERS'!$C$29)</f>
        <v>1308505.6753398026</v>
      </c>
      <c r="AB41" s="333">
        <f>AA41*(1+'SITE Model - INPUT PARAMETERS'!$C$29)</f>
        <v>1321590.7320932008</v>
      </c>
      <c r="AC41" s="230"/>
      <c r="AD41" s="109"/>
      <c r="AE41" s="1"/>
      <c r="AF41" s="1"/>
    </row>
    <row r="42" spans="2:32" s="2" customFormat="1" ht="20.25" customHeight="1" thickBot="1" x14ac:dyDescent="0.35">
      <c r="B42" s="438" t="s">
        <v>130</v>
      </c>
      <c r="C42" s="439"/>
      <c r="D42" s="440">
        <f>+'Site Geneva revenues A'!D20+'Site Geneva revenues B'!D20+'Site Geneva revenues C'!D20</f>
        <v>173520</v>
      </c>
      <c r="E42" s="440">
        <f>+'Site Geneva revenues A'!E20+'Site Geneva revenues B'!E20+'Site Geneva revenues C'!E20+'Site Zurich revenues A '!E20+'Site Zurch revenues B '!E20+'Site Zurich revenues C '!E20</f>
        <v>348775.2</v>
      </c>
      <c r="F42" s="440">
        <f>+'Site Geneva revenues A'!F20+'Site Geneva revenues B'!F20+'Site Geneva revenues C'!F20+'Site Zurich revenues A '!F20+'Site Zurch revenues B '!F20+'Site Zurich revenues C '!F20+'Site Loc 3 revenues A  '!F20+'Site Loc 3 revenues B  '!F20+'Site Loc 3 revenues C '!F20</f>
        <v>525782.95200000005</v>
      </c>
      <c r="G42" s="440">
        <f>F42+'Site Loc 4 revenues A   '!G20+'Site Loc 4 revenues B   '!G20+'Site Loc 4 revenues C  '!G20</f>
        <v>699302.95200000005</v>
      </c>
      <c r="H42" s="440">
        <f>+'Site Geneva revenues A'!H20+'Site Geneva revenues B'!H20+'Site Geneva revenues C'!H20+G42</f>
        <v>879868.55981520005</v>
      </c>
      <c r="I42" s="440">
        <f>H42*(1+'SITE Model - INPUT PARAMETERS'!$C$29)</f>
        <v>888667.24541335204</v>
      </c>
      <c r="J42" s="440">
        <f>I42*(1+'SITE Model - INPUT PARAMETERS'!$C$29)</f>
        <v>897553.91786748555</v>
      </c>
      <c r="K42" s="440">
        <f>J42*(1+'SITE Model - INPUT PARAMETERS'!$C$29)</f>
        <v>906529.45704616036</v>
      </c>
      <c r="L42" s="440">
        <f>K42*(1+'SITE Model - INPUT PARAMETERS'!$C$29)</f>
        <v>915594.75161662197</v>
      </c>
      <c r="M42" s="440">
        <f>L42*(1+'SITE Model - INPUT PARAMETERS'!$C$29)</f>
        <v>924750.69913278823</v>
      </c>
      <c r="N42" s="440">
        <f>M42*(1+'SITE Model - INPUT PARAMETERS'!$C$29)</f>
        <v>933998.20612411608</v>
      </c>
      <c r="O42" s="440">
        <f>N42*(1+'SITE Model - INPUT PARAMETERS'!$C$29)</f>
        <v>943338.18818535726</v>
      </c>
      <c r="P42" s="440">
        <f>O42*(1+'SITE Model - INPUT PARAMETERS'!$C$29)</f>
        <v>952771.57006721082</v>
      </c>
      <c r="Q42" s="440">
        <f>P42*(1+'SITE Model - INPUT PARAMETERS'!$C$29)</f>
        <v>962299.28576788295</v>
      </c>
      <c r="R42" s="440">
        <f>Q42*(1+'SITE Model - INPUT PARAMETERS'!$C$29)</f>
        <v>971922.27862556174</v>
      </c>
      <c r="S42" s="440">
        <f>R42*(1+'SITE Model - INPUT PARAMETERS'!$C$29)</f>
        <v>981641.50141181739</v>
      </c>
      <c r="T42" s="440">
        <f>S42*(1+'SITE Model - INPUT PARAMETERS'!$C$29)</f>
        <v>991457.91642593557</v>
      </c>
      <c r="U42" s="440">
        <f>T42*(1+'SITE Model - INPUT PARAMETERS'!$C$29)</f>
        <v>1001372.4955901949</v>
      </c>
      <c r="V42" s="440">
        <f>U42*(1+'SITE Model - INPUT PARAMETERS'!$C$29)</f>
        <v>1011386.2205460969</v>
      </c>
      <c r="W42" s="440">
        <f>V42*(1+'SITE Model - INPUT PARAMETERS'!$C$29)</f>
        <v>1021500.0827515579</v>
      </c>
      <c r="X42" s="440">
        <f>W42*(1+'SITE Model - INPUT PARAMETERS'!$C$29)</f>
        <v>1031715.0835790735</v>
      </c>
      <c r="Y42" s="440">
        <f>X42*(1+'SITE Model - INPUT PARAMETERS'!$C$29)</f>
        <v>1042032.2344148643</v>
      </c>
      <c r="Z42" s="440">
        <f>Y42*(1+'SITE Model - INPUT PARAMETERS'!$C$29)</f>
        <v>1052452.5567590131</v>
      </c>
      <c r="AA42" s="440">
        <f>Z42*(1+'SITE Model - INPUT PARAMETERS'!$C$29)</f>
        <v>1062977.0823266031</v>
      </c>
      <c r="AB42" s="440">
        <f>AA42*(1+'SITE Model - INPUT PARAMETERS'!$C$29)</f>
        <v>1073606.8531498692</v>
      </c>
      <c r="AC42" s="230"/>
      <c r="AD42" s="109"/>
      <c r="AE42" s="1"/>
      <c r="AF42" s="1"/>
    </row>
    <row r="43" spans="2:32" ht="19.05" customHeight="1" thickTop="1" x14ac:dyDescent="0.3">
      <c r="B43" s="327" t="s">
        <v>131</v>
      </c>
      <c r="C43" s="306"/>
      <c r="D43" s="370">
        <f>'SITE Model - INPUT PARAMETERS'!L21</f>
        <v>946000</v>
      </c>
      <c r="E43" s="370">
        <f>D43*(1+'SITE Model - INPUT PARAMETERS'!C29)*2</f>
        <v>1910920</v>
      </c>
      <c r="F43" s="370">
        <f>E43*(1+'SITE Model - INPUT PARAMETERS'!C29)+D43</f>
        <v>2876029.2</v>
      </c>
      <c r="G43" s="370">
        <f>F43*(1+'SITE Model - INPUT PARAMETERS'!C29)+D43</f>
        <v>3850789.4920000001</v>
      </c>
      <c r="H43" s="370">
        <f>G43*(1+'SITE Model - INPUT PARAMETERS'!C29)+D43</f>
        <v>4835297.3869199995</v>
      </c>
      <c r="I43" s="370">
        <f>H43*(1+'SITE Model - INPUT PARAMETERS'!$C$29)</f>
        <v>4883650.3607891994</v>
      </c>
      <c r="J43" s="370">
        <f>I43*(1+'SITE Model - INPUT PARAMETERS'!$C$29)</f>
        <v>4932486.8643970918</v>
      </c>
      <c r="K43" s="370">
        <f>J43*(1+'SITE Model - INPUT PARAMETERS'!$C$29)</f>
        <v>4981811.733041063</v>
      </c>
      <c r="L43" s="370">
        <f>K43*(1+'SITE Model - INPUT PARAMETERS'!$C$29)</f>
        <v>5031629.8503714735</v>
      </c>
      <c r="M43" s="370">
        <f>L43*(1+'SITE Model - INPUT PARAMETERS'!$C$29)</f>
        <v>5081946.1488751881</v>
      </c>
      <c r="N43" s="370">
        <f>M43*(1+'SITE Model - INPUT PARAMETERS'!$C$29)</f>
        <v>5132765.6103639398</v>
      </c>
      <c r="O43" s="370">
        <f>N43*(1+'SITE Model - INPUT PARAMETERS'!$C$29)</f>
        <v>5184093.2664675796</v>
      </c>
      <c r="P43" s="370">
        <f>O43*(1+'SITE Model - INPUT PARAMETERS'!$C$29)</f>
        <v>5235934.1991322553</v>
      </c>
      <c r="Q43" s="370">
        <f>P43*(1+'SITE Model - INPUT PARAMETERS'!$C$29)</f>
        <v>5288293.5411235783</v>
      </c>
      <c r="R43" s="370">
        <f>Q43*(1+'SITE Model - INPUT PARAMETERS'!$C$29)</f>
        <v>5341176.4765348146</v>
      </c>
      <c r="S43" s="370">
        <f>R43*(1+'SITE Model - INPUT PARAMETERS'!$C$29)</f>
        <v>5394588.2413001629</v>
      </c>
      <c r="T43" s="370">
        <f>S43*(1+'SITE Model - INPUT PARAMETERS'!$C$29)</f>
        <v>5448534.1237131646</v>
      </c>
      <c r="U43" s="370">
        <f>T43*(1+'SITE Model - INPUT PARAMETERS'!$C$29)</f>
        <v>5503019.4649502961</v>
      </c>
      <c r="V43" s="370">
        <f>U43*(1+'SITE Model - INPUT PARAMETERS'!$C$29)</f>
        <v>5558049.6595997987</v>
      </c>
      <c r="W43" s="370">
        <f>V43*(1+'SITE Model - INPUT PARAMETERS'!$C$29)</f>
        <v>5613630.156195797</v>
      </c>
      <c r="X43" s="370">
        <f>W43*(1+'SITE Model - INPUT PARAMETERS'!$C$29)</f>
        <v>5669766.4577577552</v>
      </c>
      <c r="Y43" s="370">
        <f>X43*(1+'SITE Model - INPUT PARAMETERS'!$C$29)</f>
        <v>5726464.1223353324</v>
      </c>
      <c r="Z43" s="370">
        <f>Y43*(1+'SITE Model - INPUT PARAMETERS'!$C$29)</f>
        <v>5783728.7635586858</v>
      </c>
      <c r="AA43" s="370">
        <f>Z43*(1+'SITE Model - INPUT PARAMETERS'!$C$29)</f>
        <v>5841566.0511942729</v>
      </c>
      <c r="AB43" s="370">
        <f>AA43*(1+'SITE Model - INPUT PARAMETERS'!$C$29)</f>
        <v>5899981.7117062155</v>
      </c>
      <c r="AD43" s="109"/>
    </row>
    <row r="44" spans="2:32" ht="19.05" customHeight="1" x14ac:dyDescent="0.3">
      <c r="B44" s="380" t="s">
        <v>132</v>
      </c>
      <c r="C44" s="332"/>
      <c r="D44" s="369">
        <f>+'Site Geneva revenues A'!D17</f>
        <v>1</v>
      </c>
      <c r="E44" s="369">
        <f>+'Site Geneva revenues A'!E17</f>
        <v>1</v>
      </c>
      <c r="F44" s="369">
        <f>+'Site Geneva revenues A'!F17</f>
        <v>1</v>
      </c>
      <c r="G44" s="369">
        <f>+'Site Geneva revenues A'!G17</f>
        <v>1</v>
      </c>
      <c r="H44" s="369">
        <f>+'Site Geneva revenues A'!H17</f>
        <v>1</v>
      </c>
      <c r="I44" s="369">
        <f>+'Site Geneva revenues A'!I17</f>
        <v>1</v>
      </c>
      <c r="J44" s="369">
        <f>+'Site Geneva revenues A'!J17</f>
        <v>1</v>
      </c>
      <c r="K44" s="369">
        <f>+'Site Geneva revenues A'!K17</f>
        <v>1</v>
      </c>
      <c r="L44" s="369">
        <f>+'Site Geneva revenues A'!L17</f>
        <v>1</v>
      </c>
      <c r="M44" s="369">
        <f>+'Site Geneva revenues A'!M17</f>
        <v>1</v>
      </c>
      <c r="N44" s="369">
        <f>+'Site Geneva revenues A'!N17</f>
        <v>1</v>
      </c>
      <c r="O44" s="369">
        <f>+'Site Geneva revenues A'!O17</f>
        <v>1</v>
      </c>
      <c r="P44" s="369">
        <f>+'Site Geneva revenues A'!P17</f>
        <v>1</v>
      </c>
      <c r="Q44" s="369">
        <f>+'Site Geneva revenues A'!Q17</f>
        <v>1</v>
      </c>
      <c r="R44" s="369">
        <f>+'Site Geneva revenues A'!R17</f>
        <v>1</v>
      </c>
      <c r="S44" s="369">
        <f>+'Site Geneva revenues A'!S17</f>
        <v>1</v>
      </c>
      <c r="T44" s="369">
        <f>+'Site Geneva revenues A'!T17</f>
        <v>1</v>
      </c>
      <c r="U44" s="369">
        <f>+'Site Geneva revenues A'!U17</f>
        <v>1</v>
      </c>
      <c r="V44" s="369">
        <f>+'Site Geneva revenues A'!V17</f>
        <v>1</v>
      </c>
      <c r="W44" s="369">
        <f>+'Site Geneva revenues A'!W17</f>
        <v>1</v>
      </c>
      <c r="X44" s="369">
        <f>+'Site Geneva revenues A'!X17</f>
        <v>1</v>
      </c>
      <c r="Y44" s="369">
        <f>+'Site Geneva revenues A'!Y17</f>
        <v>1</v>
      </c>
      <c r="Z44" s="369">
        <f>+'Site Geneva revenues A'!Z17</f>
        <v>1</v>
      </c>
      <c r="AA44" s="369">
        <f>+'Site Geneva revenues A'!AA17</f>
        <v>1</v>
      </c>
      <c r="AB44" s="369">
        <f>+'Site Geneva revenues A'!AB17</f>
        <v>1</v>
      </c>
      <c r="AD44" s="109"/>
    </row>
    <row r="45" spans="2:32" ht="19.05" customHeight="1" x14ac:dyDescent="0.3">
      <c r="B45" s="331" t="s">
        <v>133</v>
      </c>
      <c r="C45" s="64"/>
      <c r="D45" s="334">
        <f>D40*'SITE Model - INPUT PARAMETERS'!C15</f>
        <v>170808</v>
      </c>
      <c r="E45" s="334">
        <f>D45*(1+'SITE Model - INPUT PARAMETERS'!C29)*2</f>
        <v>345032.16</v>
      </c>
      <c r="F45" s="334">
        <f>E45*(1+'SITE Model - INPUT PARAMETERS'!C29)+D45</f>
        <v>519290.4816</v>
      </c>
      <c r="G45" s="334">
        <f>F45*(1+'SITE Model - INPUT PARAMETERS'!C29)+D45</f>
        <v>695291.38641599996</v>
      </c>
      <c r="H45" s="334">
        <f>G45*(1+'SITE Model - INPUT PARAMETERS'!C29)+D45</f>
        <v>873052.30028015992</v>
      </c>
      <c r="I45" s="334">
        <f>H45*(1+'SITE Model - INPUT PARAMETERS'!$C$29)</f>
        <v>881782.8232829615</v>
      </c>
      <c r="J45" s="334">
        <f>I45*(1+'SITE Model - INPUT PARAMETERS'!$C$29)</f>
        <v>890600.65151579108</v>
      </c>
      <c r="K45" s="334">
        <f>J45*(1+'SITE Model - INPUT PARAMETERS'!$C$29)</f>
        <v>899506.65803094895</v>
      </c>
      <c r="L45" s="334">
        <f>K45*(1+'SITE Model - INPUT PARAMETERS'!$C$29)</f>
        <v>908501.72461125848</v>
      </c>
      <c r="M45" s="334">
        <f>L45*(1+'SITE Model - INPUT PARAMETERS'!$C$29)</f>
        <v>917586.74185737106</v>
      </c>
      <c r="N45" s="334">
        <f>M45*(1+'SITE Model - INPUT PARAMETERS'!$C$29)</f>
        <v>926762.60927594476</v>
      </c>
      <c r="O45" s="334">
        <f>N45*(1+'SITE Model - INPUT PARAMETERS'!$C$29)</f>
        <v>936030.23536870419</v>
      </c>
      <c r="P45" s="334">
        <f>O45*(1+'SITE Model - INPUT PARAMETERS'!$C$29)</f>
        <v>945390.53772239119</v>
      </c>
      <c r="Q45" s="334">
        <f>P45*(1+'SITE Model - INPUT PARAMETERS'!$C$29)</f>
        <v>954844.44309961516</v>
      </c>
      <c r="R45" s="334">
        <f>Q45*(1+'SITE Model - INPUT PARAMETERS'!$C$29)</f>
        <v>964392.88753061136</v>
      </c>
      <c r="S45" s="334">
        <f>R45*(1+'SITE Model - INPUT PARAMETERS'!$C$29)</f>
        <v>974036.81640591752</v>
      </c>
      <c r="T45" s="334">
        <f>S45*(1+'SITE Model - INPUT PARAMETERS'!$C$29)</f>
        <v>983777.18456997676</v>
      </c>
      <c r="U45" s="334">
        <f>T45*(1+'SITE Model - INPUT PARAMETERS'!$C$29)</f>
        <v>993614.95641567651</v>
      </c>
      <c r="V45" s="334">
        <f>U45*(1+'SITE Model - INPUT PARAMETERS'!$C$29)</f>
        <v>1003551.1059798333</v>
      </c>
      <c r="W45" s="334">
        <f>V45*(1+'SITE Model - INPUT PARAMETERS'!$C$29)</f>
        <v>1013586.6170396316</v>
      </c>
      <c r="X45" s="334">
        <f>W45*(1+'SITE Model - INPUT PARAMETERS'!$C$29)</f>
        <v>1023722.4832100279</v>
      </c>
      <c r="Y45" s="334">
        <f>X45*(1+'SITE Model - INPUT PARAMETERS'!$C$29)</f>
        <v>1033959.7080421282</v>
      </c>
      <c r="Z45" s="334">
        <f>Y45*(1+'SITE Model - INPUT PARAMETERS'!$C$29)</f>
        <v>1044299.3051225495</v>
      </c>
      <c r="AA45" s="334">
        <f>Z45*(1+'SITE Model - INPUT PARAMETERS'!$C$29)</f>
        <v>1054742.298173775</v>
      </c>
      <c r="AB45" s="334">
        <f>AA45*(1+'SITE Model - INPUT PARAMETERS'!$C$29)</f>
        <v>1065289.7211555126</v>
      </c>
      <c r="AD45" s="109"/>
    </row>
    <row r="46" spans="2:32" ht="19.05" customHeight="1" x14ac:dyDescent="0.3">
      <c r="B46" s="331" t="s">
        <v>134</v>
      </c>
      <c r="C46" s="64"/>
      <c r="D46" s="334">
        <f>D41*'SITE Model - INPUT PARAMETERS'!C16</f>
        <v>32040</v>
      </c>
      <c r="E46" s="334">
        <f>D46*(1+'SITE Model - INPUT PARAMETERS'!C29)*2</f>
        <v>64720.800000000003</v>
      </c>
      <c r="F46" s="334">
        <f>E46*(1+'SITE Model - INPUT PARAMETERS'!C29)+D46</f>
        <v>97408.008000000002</v>
      </c>
      <c r="G46" s="334">
        <f>F46*(1+'SITE Model - INPUT PARAMETERS'!C29)+D46</f>
        <v>130422.08808</v>
      </c>
      <c r="H46" s="334">
        <f>G46*(1+'SITE Model - INPUT PARAMETERS'!C29)+D46</f>
        <v>163766.3089608</v>
      </c>
      <c r="I46" s="334">
        <f>H46*(1+'SITE Model - INPUT PARAMETERS'!$C$29)</f>
        <v>165403.97205040799</v>
      </c>
      <c r="J46" s="334">
        <f>I46*(1+'SITE Model - INPUT PARAMETERS'!$C$29)</f>
        <v>167058.01177091207</v>
      </c>
      <c r="K46" s="334">
        <f>J46*(1+'SITE Model - INPUT PARAMETERS'!$C$29)</f>
        <v>168728.59188862119</v>
      </c>
      <c r="L46" s="334">
        <f>K46*(1+'SITE Model - INPUT PARAMETERS'!$C$29)</f>
        <v>170415.87780750741</v>
      </c>
      <c r="M46" s="334">
        <f>L46*(1+'SITE Model - INPUT PARAMETERS'!$C$29)</f>
        <v>172120.03658558248</v>
      </c>
      <c r="N46" s="334">
        <f>M46*(1+'SITE Model - INPUT PARAMETERS'!$C$29)</f>
        <v>173841.2369514383</v>
      </c>
      <c r="O46" s="334">
        <f>N46*(1+'SITE Model - INPUT PARAMETERS'!$C$29)</f>
        <v>175579.64932095268</v>
      </c>
      <c r="P46" s="334">
        <f>O46*(1+'SITE Model - INPUT PARAMETERS'!$C$29)</f>
        <v>177335.4458141622</v>
      </c>
      <c r="Q46" s="334">
        <f>P46*(1+'SITE Model - INPUT PARAMETERS'!$C$29)</f>
        <v>179108.80027230384</v>
      </c>
      <c r="R46" s="334">
        <f>Q46*(1+'SITE Model - INPUT PARAMETERS'!$C$29)</f>
        <v>180899.88827502687</v>
      </c>
      <c r="S46" s="334">
        <f>R46*(1+'SITE Model - INPUT PARAMETERS'!$C$29)</f>
        <v>182708.88715777715</v>
      </c>
      <c r="T46" s="334">
        <f>S46*(1+'SITE Model - INPUT PARAMETERS'!$C$29)</f>
        <v>184535.97602935493</v>
      </c>
      <c r="U46" s="334">
        <f>T46*(1+'SITE Model - INPUT PARAMETERS'!$C$29)</f>
        <v>186381.3357896485</v>
      </c>
      <c r="V46" s="334">
        <f>U46*(1+'SITE Model - INPUT PARAMETERS'!$C$29)</f>
        <v>188245.14914754499</v>
      </c>
      <c r="W46" s="334">
        <f>V46*(1+'SITE Model - INPUT PARAMETERS'!$C$29)</f>
        <v>190127.60063902044</v>
      </c>
      <c r="X46" s="334">
        <f>W46*(1+'SITE Model - INPUT PARAMETERS'!$C$29)</f>
        <v>192028.87664541064</v>
      </c>
      <c r="Y46" s="334">
        <f>X46*(1+'SITE Model - INPUT PARAMETERS'!$C$29)</f>
        <v>193949.16541186476</v>
      </c>
      <c r="Z46" s="334">
        <f>Y46*(1+'SITE Model - INPUT PARAMETERS'!$C$29)</f>
        <v>195888.6570659834</v>
      </c>
      <c r="AA46" s="334">
        <f>Z46*(1+'SITE Model - INPUT PARAMETERS'!$C$29)</f>
        <v>197847.54363664324</v>
      </c>
      <c r="AB46" s="334">
        <f>AA46*(1+'SITE Model - INPUT PARAMETERS'!$C$29)</f>
        <v>199826.01907300967</v>
      </c>
      <c r="AD46" s="109"/>
    </row>
    <row r="47" spans="2:32" ht="19.05" customHeight="1" x14ac:dyDescent="0.3">
      <c r="B47" s="331" t="s">
        <v>135</v>
      </c>
      <c r="C47" s="64"/>
      <c r="D47" s="334">
        <f>'SITE Model - INPUT PARAMETERS'!G17+'SITE Model - INPUT PARAMETERS'!G18+'SITE Model - INPUT PARAMETERS'!G19</f>
        <v>300000</v>
      </c>
      <c r="E47" s="334">
        <f>D47*(1+'SITE Model - INPUT PARAMETERS'!C29)*2</f>
        <v>606000</v>
      </c>
      <c r="F47" s="334">
        <f>E47*(1+'SITE Model - INPUT PARAMETERS'!C29)+D47</f>
        <v>912060</v>
      </c>
      <c r="G47" s="334">
        <f>F47*(1+'SITE Model - INPUT PARAMETERS'!C29)+D47</f>
        <v>1221180.6000000001</v>
      </c>
      <c r="H47" s="334">
        <f>G47*(1+'SITE Model - INPUT PARAMETERS'!C29)+D47</f>
        <v>1533392.4060000002</v>
      </c>
      <c r="I47" s="334">
        <f>H47*(1+'SITE Model - INPUT PARAMETERS'!$C$29)</f>
        <v>1548726.3300600003</v>
      </c>
      <c r="J47" s="334">
        <f>I47*(1+'SITE Model - INPUT PARAMETERS'!$C$29)</f>
        <v>1564213.5933606003</v>
      </c>
      <c r="K47" s="334">
        <f>J47*(1+'SITE Model - INPUT PARAMETERS'!$C$29)</f>
        <v>1579855.7292942062</v>
      </c>
      <c r="L47" s="334">
        <f>K47*(1+'SITE Model - INPUT PARAMETERS'!$C$29)</f>
        <v>1595654.2865871484</v>
      </c>
      <c r="M47" s="334">
        <f>L47*(1+'SITE Model - INPUT PARAMETERS'!$C$29)</f>
        <v>1611610.8294530199</v>
      </c>
      <c r="N47" s="334">
        <f>M47*(1+'SITE Model - INPUT PARAMETERS'!$C$29)</f>
        <v>1627726.9377475502</v>
      </c>
      <c r="O47" s="334">
        <f>N47*(1+'SITE Model - INPUT PARAMETERS'!$C$29)</f>
        <v>1644004.2071250258</v>
      </c>
      <c r="P47" s="334">
        <f>O47*(1+'SITE Model - INPUT PARAMETERS'!$C$29)</f>
        <v>1660444.2491962761</v>
      </c>
      <c r="Q47" s="334">
        <f>P47*(1+'SITE Model - INPUT PARAMETERS'!$C$29)</f>
        <v>1677048.6916882389</v>
      </c>
      <c r="R47" s="334">
        <f>Q47*(1+'SITE Model - INPUT PARAMETERS'!$C$29)</f>
        <v>1693819.1786051213</v>
      </c>
      <c r="S47" s="334">
        <f>R47*(1+'SITE Model - INPUT PARAMETERS'!$C$29)</f>
        <v>1710757.3703911726</v>
      </c>
      <c r="T47" s="334">
        <f>S47*(1+'SITE Model - INPUT PARAMETERS'!$C$29)</f>
        <v>1727864.9440950844</v>
      </c>
      <c r="U47" s="334">
        <f>T47*(1+'SITE Model - INPUT PARAMETERS'!$C$29)</f>
        <v>1745143.5935360354</v>
      </c>
      <c r="V47" s="334">
        <f>U47*(1+'SITE Model - INPUT PARAMETERS'!$C$29)</f>
        <v>1762595.0294713958</v>
      </c>
      <c r="W47" s="334">
        <f>V47*(1+'SITE Model - INPUT PARAMETERS'!$C$29)</f>
        <v>1780220.9797661097</v>
      </c>
      <c r="X47" s="334">
        <f>W47*(1+'SITE Model - INPUT PARAMETERS'!$C$29)</f>
        <v>1798023.1895637708</v>
      </c>
      <c r="Y47" s="334">
        <f>X47*(1+'SITE Model - INPUT PARAMETERS'!$C$29)</f>
        <v>1816003.4214594085</v>
      </c>
      <c r="Z47" s="334">
        <f>Y47*(1+'SITE Model - INPUT PARAMETERS'!$C$29)</f>
        <v>1834163.4556740026</v>
      </c>
      <c r="AA47" s="334">
        <f>Z47*(1+'SITE Model - INPUT PARAMETERS'!$C$29)</f>
        <v>1852505.0902307427</v>
      </c>
      <c r="AB47" s="334">
        <f>AA47*(1+'SITE Model - INPUT PARAMETERS'!$C$29)</f>
        <v>1871030.1411330502</v>
      </c>
      <c r="AD47" s="109"/>
    </row>
    <row r="48" spans="2:32" ht="19.05" customHeight="1" x14ac:dyDescent="0.3">
      <c r="B48" s="331" t="s">
        <v>136</v>
      </c>
      <c r="C48" s="64"/>
      <c r="D48" s="334">
        <f>'SITE Model - INPUT PARAMETERS'!G16</f>
        <v>120000</v>
      </c>
      <c r="E48" s="334">
        <f>D48*(1+'SITE Model - INPUT PARAMETERS'!C29)*2</f>
        <v>242400</v>
      </c>
      <c r="F48" s="334">
        <f>E48*(1+'SITE Model - INPUT PARAMETERS'!C29)+D48</f>
        <v>364824</v>
      </c>
      <c r="G48" s="334">
        <f>F48*(1+'SITE Model - INPUT PARAMETERS'!C29)+D48</f>
        <v>488472.24</v>
      </c>
      <c r="H48" s="334">
        <f>G48*(1+'SITE Model - INPUT PARAMETERS'!C29)+D48</f>
        <v>613356.96240000008</v>
      </c>
      <c r="I48" s="334">
        <f>H48*(1+'SITE Model - INPUT PARAMETERS'!$C$29)</f>
        <v>619490.53202400007</v>
      </c>
      <c r="J48" s="334">
        <f>I48*(1+'SITE Model - INPUT PARAMETERS'!$C$29)</f>
        <v>625685.43734424002</v>
      </c>
      <c r="K48" s="334">
        <f>J48*(1+'SITE Model - INPUT PARAMETERS'!$C$29)</f>
        <v>631942.29171768238</v>
      </c>
      <c r="L48" s="334">
        <f>K48*(1+'SITE Model - INPUT PARAMETERS'!$C$29)</f>
        <v>638261.71463485924</v>
      </c>
      <c r="M48" s="334">
        <f>L48*(1+'SITE Model - INPUT PARAMETERS'!$C$29)</f>
        <v>644644.33178120782</v>
      </c>
      <c r="N48" s="334">
        <f>M48*(1+'SITE Model - INPUT PARAMETERS'!$C$29)</f>
        <v>651090.77509901987</v>
      </c>
      <c r="O48" s="334">
        <f>N48*(1+'SITE Model - INPUT PARAMETERS'!$C$29)</f>
        <v>657601.68285001011</v>
      </c>
      <c r="P48" s="334">
        <f>O48*(1+'SITE Model - INPUT PARAMETERS'!$C$29)</f>
        <v>664177.69967851019</v>
      </c>
      <c r="Q48" s="334">
        <f>P48*(1+'SITE Model - INPUT PARAMETERS'!$C$29)</f>
        <v>670819.47667529527</v>
      </c>
      <c r="R48" s="334">
        <f>Q48*(1+'SITE Model - INPUT PARAMETERS'!$C$29)</f>
        <v>677527.67144204827</v>
      </c>
      <c r="S48" s="334">
        <f>R48*(1+'SITE Model - INPUT PARAMETERS'!$C$29)</f>
        <v>684302.9481564688</v>
      </c>
      <c r="T48" s="334">
        <f>S48*(1+'SITE Model - INPUT PARAMETERS'!$C$29)</f>
        <v>691145.97763803345</v>
      </c>
      <c r="U48" s="334">
        <f>T48*(1+'SITE Model - INPUT PARAMETERS'!$C$29)</f>
        <v>698057.43741441378</v>
      </c>
      <c r="V48" s="334">
        <f>U48*(1+'SITE Model - INPUT PARAMETERS'!$C$29)</f>
        <v>705038.01178855798</v>
      </c>
      <c r="W48" s="334">
        <f>V48*(1+'SITE Model - INPUT PARAMETERS'!$C$29)</f>
        <v>712088.39190644352</v>
      </c>
      <c r="X48" s="334">
        <f>W48*(1+'SITE Model - INPUT PARAMETERS'!$C$29)</f>
        <v>719209.27582550794</v>
      </c>
      <c r="Y48" s="334">
        <f>X48*(1+'SITE Model - INPUT PARAMETERS'!$C$29)</f>
        <v>726401.36858376302</v>
      </c>
      <c r="Z48" s="334">
        <f>Y48*(1+'SITE Model - INPUT PARAMETERS'!$C$29)</f>
        <v>733665.38226960064</v>
      </c>
      <c r="AA48" s="334">
        <f>Z48*(1+'SITE Model - INPUT PARAMETERS'!$C$29)</f>
        <v>741002.03609229671</v>
      </c>
      <c r="AB48" s="334">
        <f>AA48*(1+'SITE Model - INPUT PARAMETERS'!$C$29)</f>
        <v>748412.05645321973</v>
      </c>
      <c r="AD48" s="109"/>
    </row>
    <row r="49" spans="2:32 16384:16384" ht="19.05" customHeight="1" x14ac:dyDescent="0.3">
      <c r="B49" s="94" t="s">
        <v>103</v>
      </c>
      <c r="C49" s="64"/>
      <c r="D49" s="334">
        <f>'SITE Model - INPUT PARAMETERS'!G20</f>
        <v>50000</v>
      </c>
      <c r="E49" s="334">
        <f>D49*(1+'SITE Model - INPUT PARAMETERS'!C29)*2</f>
        <v>101000</v>
      </c>
      <c r="F49" s="334">
        <f>E49*(1+'SITE Model - INPUT PARAMETERS'!C29)+D49</f>
        <v>152010</v>
      </c>
      <c r="G49" s="334">
        <f>F49*(1+'SITE Model - INPUT PARAMETERS'!C29)+D49</f>
        <v>203530.1</v>
      </c>
      <c r="H49" s="334">
        <f>G49*(1+'SITE Model - INPUT PARAMETERS'!C29)+D49</f>
        <v>255565.40100000001</v>
      </c>
      <c r="I49" s="334">
        <f>H49*(1+'SITE Model - INPUT PARAMETERS'!$C$29)</f>
        <v>258121.05501000001</v>
      </c>
      <c r="J49" s="334">
        <f>I49*(1+'SITE Model - INPUT PARAMETERS'!$C$29)</f>
        <v>260702.2655601</v>
      </c>
      <c r="K49" s="334">
        <f>J49*(1+'SITE Model - INPUT PARAMETERS'!$C$29)</f>
        <v>263309.288215701</v>
      </c>
      <c r="L49" s="334">
        <f>K49*(1+'SITE Model - INPUT PARAMETERS'!$C$29)</f>
        <v>265942.38109785801</v>
      </c>
      <c r="M49" s="334">
        <f>L49*(1+'SITE Model - INPUT PARAMETERS'!$C$29)</f>
        <v>268601.80490883661</v>
      </c>
      <c r="N49" s="334">
        <f>M49*(1+'SITE Model - INPUT PARAMETERS'!$C$29)</f>
        <v>271287.82295792497</v>
      </c>
      <c r="O49" s="334">
        <f>N49*(1+'SITE Model - INPUT PARAMETERS'!$C$29)</f>
        <v>274000.70118750422</v>
      </c>
      <c r="P49" s="334">
        <f>O49*(1+'SITE Model - INPUT PARAMETERS'!$C$29)</f>
        <v>276740.70819937927</v>
      </c>
      <c r="Q49" s="334">
        <f>P49*(1+'SITE Model - INPUT PARAMETERS'!$C$29)</f>
        <v>279508.11528137309</v>
      </c>
      <c r="R49" s="334">
        <f>Q49*(1+'SITE Model - INPUT PARAMETERS'!$C$29)</f>
        <v>282303.19643418683</v>
      </c>
      <c r="S49" s="334">
        <f>R49*(1+'SITE Model - INPUT PARAMETERS'!$C$29)</f>
        <v>285126.22839852871</v>
      </c>
      <c r="T49" s="334">
        <f>S49*(1+'SITE Model - INPUT PARAMETERS'!$C$29)</f>
        <v>287977.49068251398</v>
      </c>
      <c r="U49" s="334">
        <f>T49*(1+'SITE Model - INPUT PARAMETERS'!$C$29)</f>
        <v>290857.26558933913</v>
      </c>
      <c r="V49" s="334">
        <f>U49*(1+'SITE Model - INPUT PARAMETERS'!$C$29)</f>
        <v>293765.83824523253</v>
      </c>
      <c r="W49" s="334">
        <f>V49*(1+'SITE Model - INPUT PARAMETERS'!$C$29)</f>
        <v>296703.49662768486</v>
      </c>
      <c r="X49" s="334">
        <f>W49*(1+'SITE Model - INPUT PARAMETERS'!$C$29)</f>
        <v>299670.5315939617</v>
      </c>
      <c r="Y49" s="334">
        <f>X49*(1+'SITE Model - INPUT PARAMETERS'!$C$29)</f>
        <v>302667.23690990132</v>
      </c>
      <c r="Z49" s="334">
        <f>Y49*(1+'SITE Model - INPUT PARAMETERS'!$C$29)</f>
        <v>305693.90927900031</v>
      </c>
      <c r="AA49" s="334">
        <f>Z49*(1+'SITE Model - INPUT PARAMETERS'!$C$29)</f>
        <v>308750.84837179031</v>
      </c>
      <c r="AB49" s="334">
        <f>AA49*(1+'SITE Model - INPUT PARAMETERS'!$C$29)</f>
        <v>311838.35685550823</v>
      </c>
      <c r="AD49" s="109"/>
    </row>
    <row r="50" spans="2:32 16384:16384" ht="15.6" x14ac:dyDescent="0.3">
      <c r="B50" s="328" t="s">
        <v>137</v>
      </c>
      <c r="C50" s="332"/>
      <c r="D50" s="371">
        <f>SUM(D45:D49)</f>
        <v>672848</v>
      </c>
      <c r="E50" s="371">
        <f t="shared" ref="E50:AB50" si="10">SUM(E45:E49)</f>
        <v>1359152.96</v>
      </c>
      <c r="F50" s="371">
        <f t="shared" si="10"/>
        <v>2045592.4896</v>
      </c>
      <c r="G50" s="371">
        <f t="shared" si="10"/>
        <v>2738896.4144960004</v>
      </c>
      <c r="H50" s="371">
        <f t="shared" si="10"/>
        <v>3439133.37864096</v>
      </c>
      <c r="I50" s="371">
        <f t="shared" si="10"/>
        <v>3473524.7124273703</v>
      </c>
      <c r="J50" s="371">
        <f t="shared" si="10"/>
        <v>3508259.9595516436</v>
      </c>
      <c r="K50" s="371">
        <f t="shared" si="10"/>
        <v>3543342.5591471596</v>
      </c>
      <c r="L50" s="371">
        <f t="shared" si="10"/>
        <v>3578775.9847386312</v>
      </c>
      <c r="M50" s="371">
        <f t="shared" si="10"/>
        <v>3614563.7445860174</v>
      </c>
      <c r="N50" s="371">
        <f t="shared" si="10"/>
        <v>3650709.3820318785</v>
      </c>
      <c r="O50" s="371">
        <f t="shared" si="10"/>
        <v>3687216.475852197</v>
      </c>
      <c r="P50" s="371">
        <f t="shared" si="10"/>
        <v>3724088.6406107191</v>
      </c>
      <c r="Q50" s="371">
        <f t="shared" si="10"/>
        <v>3761329.5270168264</v>
      </c>
      <c r="R50" s="371">
        <f t="shared" si="10"/>
        <v>3798942.8222869947</v>
      </c>
      <c r="S50" s="371">
        <f t="shared" si="10"/>
        <v>3836932.2505098647</v>
      </c>
      <c r="T50" s="371">
        <f t="shared" si="10"/>
        <v>3875301.573014963</v>
      </c>
      <c r="U50" s="371">
        <f t="shared" si="10"/>
        <v>3914054.5887451135</v>
      </c>
      <c r="V50" s="371">
        <f t="shared" si="10"/>
        <v>3953195.1346325651</v>
      </c>
      <c r="W50" s="371">
        <f t="shared" si="10"/>
        <v>3992727.0859788903</v>
      </c>
      <c r="X50" s="371">
        <f t="shared" si="10"/>
        <v>4032654.3568386789</v>
      </c>
      <c r="Y50" s="371">
        <f t="shared" si="10"/>
        <v>4072980.9004070656</v>
      </c>
      <c r="Z50" s="371">
        <f t="shared" si="10"/>
        <v>4113710.7094111363</v>
      </c>
      <c r="AA50" s="371">
        <f t="shared" si="10"/>
        <v>4154847.8165052477</v>
      </c>
      <c r="AB50" s="371">
        <f t="shared" si="10"/>
        <v>4196396.2946703006</v>
      </c>
      <c r="AD50" s="109"/>
    </row>
    <row r="51" spans="2:32 16384:16384" ht="18.600000000000001" thickBot="1" x14ac:dyDescent="0.35">
      <c r="B51" s="326" t="s">
        <v>138</v>
      </c>
      <c r="C51" s="307"/>
      <c r="D51" s="372">
        <f>D43+D50</f>
        <v>1618848</v>
      </c>
      <c r="E51" s="372">
        <f t="shared" ref="E51:AB51" si="11">E43+E50</f>
        <v>3270072.96</v>
      </c>
      <c r="F51" s="372">
        <f t="shared" si="11"/>
        <v>4921621.6896000002</v>
      </c>
      <c r="G51" s="372">
        <f t="shared" si="11"/>
        <v>6589685.9064960005</v>
      </c>
      <c r="H51" s="372">
        <f t="shared" si="11"/>
        <v>8274430.7655609595</v>
      </c>
      <c r="I51" s="372">
        <f t="shared" si="11"/>
        <v>8357175.0732165696</v>
      </c>
      <c r="J51" s="372">
        <f t="shared" si="11"/>
        <v>8440746.8239487354</v>
      </c>
      <c r="K51" s="372">
        <f t="shared" si="11"/>
        <v>8525154.2921882235</v>
      </c>
      <c r="L51" s="372">
        <f t="shared" si="11"/>
        <v>8610405.8351101056</v>
      </c>
      <c r="M51" s="372">
        <f t="shared" si="11"/>
        <v>8696509.8934612051</v>
      </c>
      <c r="N51" s="372">
        <f t="shared" si="11"/>
        <v>8783474.9923958182</v>
      </c>
      <c r="O51" s="372">
        <f t="shared" si="11"/>
        <v>8871309.7423197776</v>
      </c>
      <c r="P51" s="372">
        <f t="shared" si="11"/>
        <v>8960022.8397429734</v>
      </c>
      <c r="Q51" s="372">
        <f t="shared" si="11"/>
        <v>9049623.0681404043</v>
      </c>
      <c r="R51" s="372">
        <f t="shared" si="11"/>
        <v>9140119.2988218088</v>
      </c>
      <c r="S51" s="372">
        <f t="shared" si="11"/>
        <v>9231520.4918100275</v>
      </c>
      <c r="T51" s="372">
        <f t="shared" si="11"/>
        <v>9323835.6967281271</v>
      </c>
      <c r="U51" s="372">
        <f t="shared" si="11"/>
        <v>9417074.0536954105</v>
      </c>
      <c r="V51" s="372">
        <f t="shared" si="11"/>
        <v>9511244.7942323647</v>
      </c>
      <c r="W51" s="372">
        <f t="shared" si="11"/>
        <v>9606357.2421746869</v>
      </c>
      <c r="X51" s="372">
        <f t="shared" si="11"/>
        <v>9702420.8145964332</v>
      </c>
      <c r="Y51" s="372">
        <f t="shared" si="11"/>
        <v>9799445.0227423981</v>
      </c>
      <c r="Z51" s="372">
        <f t="shared" si="11"/>
        <v>9897439.4729698226</v>
      </c>
      <c r="AA51" s="372">
        <f t="shared" si="11"/>
        <v>9996413.8676995207</v>
      </c>
      <c r="AB51" s="372">
        <f t="shared" si="11"/>
        <v>10096378.006376516</v>
      </c>
      <c r="AC51" s="2"/>
      <c r="AD51" s="2"/>
      <c r="AE51" s="2"/>
      <c r="AF51" s="2"/>
    </row>
    <row r="52" spans="2:32 16384:16384" x14ac:dyDescent="0.3">
      <c r="B52" s="75"/>
      <c r="C52" s="26"/>
      <c r="D52" s="335"/>
      <c r="E52" s="335"/>
      <c r="F52" s="335"/>
      <c r="G52" s="335"/>
      <c r="H52" s="335"/>
      <c r="I52" s="335"/>
      <c r="J52" s="335"/>
      <c r="K52" s="335"/>
      <c r="L52" s="335"/>
      <c r="M52" s="335"/>
      <c r="N52" s="335"/>
      <c r="O52" s="335"/>
      <c r="P52" s="335"/>
      <c r="Q52" s="335"/>
      <c r="R52" s="335"/>
      <c r="S52" s="335"/>
      <c r="T52" s="335"/>
      <c r="U52" s="335"/>
      <c r="V52" s="335"/>
      <c r="W52" s="335"/>
      <c r="X52" s="335"/>
      <c r="Y52" s="335"/>
      <c r="Z52" s="335"/>
      <c r="AA52" s="335"/>
      <c r="AB52" s="335"/>
      <c r="AC52" s="18"/>
      <c r="AD52" s="18"/>
      <c r="AE52" s="18"/>
      <c r="AF52" s="18"/>
    </row>
    <row r="53" spans="2:32 16384:16384" x14ac:dyDescent="0.3">
      <c r="B53" s="76" t="s">
        <v>139</v>
      </c>
      <c r="C53" s="25"/>
      <c r="D53" s="334">
        <f t="shared" ref="D53:AB53" si="12">D39-D51</f>
        <v>476352</v>
      </c>
      <c r="E53" s="334">
        <f t="shared" si="12"/>
        <v>754799.04</v>
      </c>
      <c r="F53" s="334">
        <f t="shared" si="12"/>
        <v>1037003.0304000005</v>
      </c>
      <c r="G53" s="334">
        <f t="shared" si="12"/>
        <v>1277658.8135040002</v>
      </c>
      <c r="H53" s="334">
        <f t="shared" si="12"/>
        <v>1773187.4761910411</v>
      </c>
      <c r="I53" s="334">
        <f t="shared" si="12"/>
        <v>1790919.3509529503</v>
      </c>
      <c r="J53" s="334">
        <f t="shared" si="12"/>
        <v>1808828.5444624797</v>
      </c>
      <c r="K53" s="334">
        <f t="shared" si="12"/>
        <v>1826916.8299071025</v>
      </c>
      <c r="L53" s="334">
        <f t="shared" si="12"/>
        <v>1845185.998206174</v>
      </c>
      <c r="M53" s="334">
        <f t="shared" si="12"/>
        <v>1863637.8581882399</v>
      </c>
      <c r="N53" s="334">
        <f t="shared" si="12"/>
        <v>1882274.2367701195</v>
      </c>
      <c r="O53" s="334">
        <f t="shared" si="12"/>
        <v>1901096.9791378193</v>
      </c>
      <c r="P53" s="334">
        <f t="shared" si="12"/>
        <v>1920107.9489291999</v>
      </c>
      <c r="Q53" s="334">
        <f t="shared" si="12"/>
        <v>1939309.0284184907</v>
      </c>
      <c r="R53" s="334">
        <f t="shared" si="12"/>
        <v>1958702.1187026743</v>
      </c>
      <c r="S53" s="334">
        <f t="shared" si="12"/>
        <v>1978289.1398897022</v>
      </c>
      <c r="T53" s="334">
        <f t="shared" si="12"/>
        <v>1998072.0312885996</v>
      </c>
      <c r="U53" s="334">
        <f t="shared" si="12"/>
        <v>2018052.7516014837</v>
      </c>
      <c r="V53" s="334">
        <f t="shared" si="12"/>
        <v>2038233.2791174967</v>
      </c>
      <c r="W53" s="334">
        <f t="shared" si="12"/>
        <v>2058615.6119086724</v>
      </c>
      <c r="X53" s="334">
        <f t="shared" si="12"/>
        <v>2079201.7680277601</v>
      </c>
      <c r="Y53" s="334">
        <f t="shared" si="12"/>
        <v>2099993.7857080381</v>
      </c>
      <c r="Z53" s="334">
        <f t="shared" si="12"/>
        <v>2120993.7235651184</v>
      </c>
      <c r="AA53" s="334">
        <f t="shared" si="12"/>
        <v>2142203.6608007681</v>
      </c>
      <c r="AB53" s="334">
        <f t="shared" si="12"/>
        <v>2163625.6974087749</v>
      </c>
      <c r="AC53" s="2"/>
      <c r="AD53" s="2"/>
      <c r="AE53" s="2"/>
      <c r="AF53" s="2"/>
    </row>
    <row r="54" spans="2:32 16384:16384" ht="16.2" x14ac:dyDescent="0.3">
      <c r="B54" s="74" t="s">
        <v>140</v>
      </c>
      <c r="C54" s="87">
        <v>10</v>
      </c>
      <c r="D54" s="336">
        <f>IF(D35&lt;=$C$54,'SITE Model - INPUT PARAMETERS'!$C$35/$C$54,0)</f>
        <v>43000</v>
      </c>
      <c r="E54" s="336">
        <f>IF(E35&lt;=$C$54,'SITE Model - INPUT PARAMETERS'!$C$35/$C$54,0)</f>
        <v>43000</v>
      </c>
      <c r="F54" s="336">
        <f>IF(F35&lt;=$C$54,'SITE Model - INPUT PARAMETERS'!$C$35/$C$54,0)</f>
        <v>43000</v>
      </c>
      <c r="G54" s="336">
        <f>IF(G35&lt;=$C$54,'SITE Model - INPUT PARAMETERS'!$C$35/$C$54,0)</f>
        <v>43000</v>
      </c>
      <c r="H54" s="336">
        <f>IF(H35&lt;=$C$54,'SITE Model - INPUT PARAMETERS'!$C$35/$C$54,0)</f>
        <v>43000</v>
      </c>
      <c r="I54" s="336">
        <f>IF(I35&lt;=$C$54,'SITE Model - INPUT PARAMETERS'!$C$35/$C$54,0)</f>
        <v>43000</v>
      </c>
      <c r="J54" s="336">
        <f>IF(J35&lt;=$C$54,'SITE Model - INPUT PARAMETERS'!$C$35/$C$54,0)</f>
        <v>43000</v>
      </c>
      <c r="K54" s="336">
        <f>IF(K35&lt;=$C$54,'SITE Model - INPUT PARAMETERS'!$C$35/$C$54,0)</f>
        <v>43000</v>
      </c>
      <c r="L54" s="336">
        <f>IF(L35&lt;=$C$54,'SITE Model - INPUT PARAMETERS'!$C$35/$C$54,0)</f>
        <v>43000</v>
      </c>
      <c r="M54" s="336">
        <f>IF(M35&lt;=$C$54,'SITE Model - INPUT PARAMETERS'!$C$35/$C$54,0)</f>
        <v>43000</v>
      </c>
      <c r="N54" s="336">
        <v>420000</v>
      </c>
      <c r="O54" s="336">
        <f>IF(O35&lt;=$C$54,'SITE Model - INPUT PARAMETERS'!$C$35/$C$54,0)</f>
        <v>0</v>
      </c>
      <c r="P54" s="336">
        <f>IF(P35&lt;=$C$54,'SITE Model - INPUT PARAMETERS'!$C$35/$C$54,0)</f>
        <v>0</v>
      </c>
      <c r="Q54" s="336">
        <f>IF(Q35&lt;=$C$54,'SITE Model - INPUT PARAMETERS'!$C$35/$C$54,0)</f>
        <v>0</v>
      </c>
      <c r="R54" s="336">
        <f>IF(R35&lt;=$C$54,'SITE Model - INPUT PARAMETERS'!$C$35/$C$54,0)</f>
        <v>0</v>
      </c>
      <c r="S54" s="336">
        <f>IF(S35&lt;=$C$54,'SITE Model - INPUT PARAMETERS'!$C$35/$C$54,0)</f>
        <v>0</v>
      </c>
      <c r="T54" s="336">
        <f>IF(T35&lt;=$C$54,'SITE Model - INPUT PARAMETERS'!$C$35/$C$54,0)</f>
        <v>0</v>
      </c>
      <c r="U54" s="336">
        <f>IF(U35&lt;=$C$54,'SITE Model - INPUT PARAMETERS'!$C$35/$C$54,0)</f>
        <v>0</v>
      </c>
      <c r="V54" s="336">
        <f>IF(V35&lt;=$C$54,'SITE Model - INPUT PARAMETERS'!$C$35/$C$54,0)</f>
        <v>0</v>
      </c>
      <c r="W54" s="336">
        <f>IF(W35&lt;=$C$54,'SITE Model - INPUT PARAMETERS'!$C$35/$C$54,0)</f>
        <v>0</v>
      </c>
      <c r="X54" s="336">
        <f>IF(X35&lt;=$C$54,'SITE Model - INPUT PARAMETERS'!$C$35/$C$54,0)</f>
        <v>0</v>
      </c>
      <c r="Y54" s="336">
        <f>IF(Y35&lt;=$C$54,'SITE Model - INPUT PARAMETERS'!$C$35/$C$54,0)</f>
        <v>0</v>
      </c>
      <c r="Z54" s="336">
        <f>IF(Z35&lt;=$C$54,'SITE Model - INPUT PARAMETERS'!$C$35/$C$54,0)</f>
        <v>0</v>
      </c>
      <c r="AA54" s="336">
        <f>IF(AA35&lt;=$C$54,'SITE Model - INPUT PARAMETERS'!$C$35/$C$54,0)</f>
        <v>0</v>
      </c>
      <c r="AB54" s="336">
        <f>IF(AB35&lt;=$C$54,'SITE Model - INPUT PARAMETERS'!$C$35/$C$54,0)</f>
        <v>0</v>
      </c>
      <c r="AC54" s="11"/>
      <c r="AD54" s="109"/>
      <c r="AE54" s="11"/>
      <c r="AF54" s="11"/>
    </row>
    <row r="55" spans="2:32 16384:16384" ht="16.2" x14ac:dyDescent="0.3">
      <c r="B55" s="77" t="s">
        <v>141</v>
      </c>
      <c r="C55" s="26"/>
      <c r="D55" s="335">
        <f t="shared" ref="D55:AB55" si="13">D53-D54</f>
        <v>433352</v>
      </c>
      <c r="E55" s="335">
        <f t="shared" si="13"/>
        <v>711799.04</v>
      </c>
      <c r="F55" s="335">
        <f t="shared" si="13"/>
        <v>994003.03040000051</v>
      </c>
      <c r="G55" s="335">
        <f t="shared" si="13"/>
        <v>1234658.8135040002</v>
      </c>
      <c r="H55" s="335">
        <f t="shared" si="13"/>
        <v>1730187.4761910411</v>
      </c>
      <c r="I55" s="335">
        <f t="shared" si="13"/>
        <v>1747919.3509529503</v>
      </c>
      <c r="J55" s="335">
        <f t="shared" si="13"/>
        <v>1765828.5444624797</v>
      </c>
      <c r="K55" s="335">
        <f t="shared" si="13"/>
        <v>1783916.8299071025</v>
      </c>
      <c r="L55" s="335">
        <f t="shared" si="13"/>
        <v>1802185.998206174</v>
      </c>
      <c r="M55" s="335">
        <f t="shared" si="13"/>
        <v>1820637.8581882399</v>
      </c>
      <c r="N55" s="335">
        <f t="shared" si="13"/>
        <v>1462274.2367701195</v>
      </c>
      <c r="O55" s="335">
        <f t="shared" si="13"/>
        <v>1901096.9791378193</v>
      </c>
      <c r="P55" s="335">
        <f t="shared" si="13"/>
        <v>1920107.9489291999</v>
      </c>
      <c r="Q55" s="335">
        <f t="shared" si="13"/>
        <v>1939309.0284184907</v>
      </c>
      <c r="R55" s="335">
        <f t="shared" si="13"/>
        <v>1958702.1187026743</v>
      </c>
      <c r="S55" s="335">
        <f t="shared" si="13"/>
        <v>1978289.1398897022</v>
      </c>
      <c r="T55" s="335">
        <f t="shared" si="13"/>
        <v>1998072.0312885996</v>
      </c>
      <c r="U55" s="335">
        <f t="shared" si="13"/>
        <v>2018052.7516014837</v>
      </c>
      <c r="V55" s="335">
        <f t="shared" si="13"/>
        <v>2038233.2791174967</v>
      </c>
      <c r="W55" s="335">
        <f t="shared" si="13"/>
        <v>2058615.6119086724</v>
      </c>
      <c r="X55" s="335">
        <f t="shared" si="13"/>
        <v>2079201.7680277601</v>
      </c>
      <c r="Y55" s="335">
        <f t="shared" si="13"/>
        <v>2099993.7857080381</v>
      </c>
      <c r="Z55" s="335">
        <f t="shared" si="13"/>
        <v>2120993.7235651184</v>
      </c>
      <c r="AA55" s="335">
        <f t="shared" si="13"/>
        <v>2142203.6608007681</v>
      </c>
      <c r="AB55" s="335">
        <f t="shared" si="13"/>
        <v>2163625.6974087749</v>
      </c>
      <c r="AC55" s="11"/>
      <c r="AD55" s="11"/>
      <c r="AE55" s="11"/>
      <c r="AF55" s="11"/>
    </row>
    <row r="56" spans="2:32 16384:16384" ht="16.2" x14ac:dyDescent="0.3">
      <c r="B56" s="78" t="s">
        <v>142</v>
      </c>
      <c r="C56" s="26"/>
      <c r="D56" s="336">
        <f t="shared" ref="D56:AB56" si="14">D30</f>
        <v>-23500</v>
      </c>
      <c r="E56" s="336">
        <f t="shared" si="14"/>
        <v>-19239.787613256172</v>
      </c>
      <c r="F56" s="336">
        <f t="shared" si="14"/>
        <v>-14770.257149445009</v>
      </c>
      <c r="G56" s="336">
        <f t="shared" si="14"/>
        <v>-10081.090406403942</v>
      </c>
      <c r="H56" s="336">
        <f t="shared" si="14"/>
        <v>-5161.4591799298996</v>
      </c>
      <c r="I56" s="336">
        <f t="shared" si="14"/>
        <v>0</v>
      </c>
      <c r="J56" s="336">
        <f t="shared" si="14"/>
        <v>0</v>
      </c>
      <c r="K56" s="336">
        <f t="shared" si="14"/>
        <v>0</v>
      </c>
      <c r="L56" s="336">
        <f t="shared" si="14"/>
        <v>0</v>
      </c>
      <c r="M56" s="336">
        <f t="shared" si="14"/>
        <v>0</v>
      </c>
      <c r="N56" s="336">
        <f t="shared" si="14"/>
        <v>0</v>
      </c>
      <c r="O56" s="336">
        <f t="shared" si="14"/>
        <v>0</v>
      </c>
      <c r="P56" s="336">
        <f t="shared" si="14"/>
        <v>0</v>
      </c>
      <c r="Q56" s="336">
        <f t="shared" si="14"/>
        <v>0</v>
      </c>
      <c r="R56" s="336">
        <f t="shared" si="14"/>
        <v>0</v>
      </c>
      <c r="S56" s="336">
        <f t="shared" si="14"/>
        <v>0</v>
      </c>
      <c r="T56" s="336">
        <f t="shared" si="14"/>
        <v>0</v>
      </c>
      <c r="U56" s="336">
        <f t="shared" si="14"/>
        <v>0</v>
      </c>
      <c r="V56" s="336">
        <f t="shared" si="14"/>
        <v>0</v>
      </c>
      <c r="W56" s="336">
        <f t="shared" si="14"/>
        <v>0</v>
      </c>
      <c r="X56" s="336">
        <f t="shared" si="14"/>
        <v>0</v>
      </c>
      <c r="Y56" s="336">
        <f t="shared" si="14"/>
        <v>0</v>
      </c>
      <c r="Z56" s="336">
        <f t="shared" si="14"/>
        <v>0</v>
      </c>
      <c r="AA56" s="336">
        <f t="shared" si="14"/>
        <v>0</v>
      </c>
      <c r="AB56" s="336">
        <f t="shared" si="14"/>
        <v>0</v>
      </c>
      <c r="AC56" s="11"/>
      <c r="AD56" s="11"/>
      <c r="AE56" s="11"/>
      <c r="AF56" s="11"/>
    </row>
    <row r="57" spans="2:32 16384:16384" ht="16.2" x14ac:dyDescent="0.3">
      <c r="B57" s="77" t="s">
        <v>143</v>
      </c>
      <c r="C57" s="26"/>
      <c r="D57" s="336">
        <f>D55+D56</f>
        <v>409852</v>
      </c>
      <c r="E57" s="336">
        <f>E55+E56</f>
        <v>692559.2523867439</v>
      </c>
      <c r="F57" s="336">
        <f t="shared" ref="F57:AB57" si="15">F55+F56</f>
        <v>979232.7732505555</v>
      </c>
      <c r="G57" s="336">
        <f t="shared" si="15"/>
        <v>1224577.7230975963</v>
      </c>
      <c r="H57" s="336">
        <f t="shared" si="15"/>
        <v>1725026.0170111111</v>
      </c>
      <c r="I57" s="336">
        <f t="shared" si="15"/>
        <v>1747919.3509529503</v>
      </c>
      <c r="J57" s="336">
        <f t="shared" si="15"/>
        <v>1765828.5444624797</v>
      </c>
      <c r="K57" s="336">
        <f t="shared" si="15"/>
        <v>1783916.8299071025</v>
      </c>
      <c r="L57" s="336">
        <f t="shared" si="15"/>
        <v>1802185.998206174</v>
      </c>
      <c r="M57" s="336">
        <f t="shared" si="15"/>
        <v>1820637.8581882399</v>
      </c>
      <c r="N57" s="336">
        <f t="shared" si="15"/>
        <v>1462274.2367701195</v>
      </c>
      <c r="O57" s="336">
        <f t="shared" si="15"/>
        <v>1901096.9791378193</v>
      </c>
      <c r="P57" s="336">
        <f t="shared" si="15"/>
        <v>1920107.9489291999</v>
      </c>
      <c r="Q57" s="336">
        <f t="shared" si="15"/>
        <v>1939309.0284184907</v>
      </c>
      <c r="R57" s="336">
        <f t="shared" si="15"/>
        <v>1958702.1187026743</v>
      </c>
      <c r="S57" s="336">
        <f t="shared" si="15"/>
        <v>1978289.1398897022</v>
      </c>
      <c r="T57" s="336">
        <f t="shared" si="15"/>
        <v>1998072.0312885996</v>
      </c>
      <c r="U57" s="336">
        <f t="shared" si="15"/>
        <v>2018052.7516014837</v>
      </c>
      <c r="V57" s="336">
        <f t="shared" si="15"/>
        <v>2038233.2791174967</v>
      </c>
      <c r="W57" s="336">
        <f t="shared" si="15"/>
        <v>2058615.6119086724</v>
      </c>
      <c r="X57" s="336">
        <f t="shared" si="15"/>
        <v>2079201.7680277601</v>
      </c>
      <c r="Y57" s="336">
        <f t="shared" si="15"/>
        <v>2099993.7857080381</v>
      </c>
      <c r="Z57" s="336">
        <f t="shared" si="15"/>
        <v>2120993.7235651184</v>
      </c>
      <c r="AA57" s="336">
        <f t="shared" si="15"/>
        <v>2142203.6608007681</v>
      </c>
      <c r="AB57" s="336">
        <f t="shared" si="15"/>
        <v>2163625.6974087749</v>
      </c>
      <c r="AC57" s="11"/>
      <c r="AD57" s="11"/>
      <c r="AE57" s="11"/>
      <c r="AF57" s="11"/>
    </row>
    <row r="58" spans="2:32 16384:16384" ht="16.2" x14ac:dyDescent="0.3">
      <c r="B58" s="74" t="s">
        <v>144</v>
      </c>
      <c r="C58" s="25">
        <v>0.25</v>
      </c>
      <c r="D58" s="336">
        <f>+D91</f>
        <v>109633</v>
      </c>
      <c r="E58" s="336">
        <f>+E91</f>
        <v>195863.31929005787</v>
      </c>
      <c r="F58" s="336">
        <f t="shared" ref="F58:AB58" si="16">+F91</f>
        <v>294943.64873791637</v>
      </c>
      <c r="G58" s="336">
        <f t="shared" si="16"/>
        <v>378119.67541119712</v>
      </c>
      <c r="H58" s="336">
        <f t="shared" si="16"/>
        <v>525381.72240121278</v>
      </c>
      <c r="I58" s="336">
        <f t="shared" si="16"/>
        <v>534652.84495402162</v>
      </c>
      <c r="J58" s="336">
        <f t="shared" si="16"/>
        <v>540106.87340356177</v>
      </c>
      <c r="K58" s="336">
        <f t="shared" si="16"/>
        <v>545615.4421375969</v>
      </c>
      <c r="L58" s="336">
        <f t="shared" si="16"/>
        <v>551179.09655897296</v>
      </c>
      <c r="M58" s="336">
        <f t="shared" si="16"/>
        <v>556798.3875245637</v>
      </c>
      <c r="N58" s="336">
        <f t="shared" si="16"/>
        <v>468223.87139980868</v>
      </c>
      <c r="O58" s="336">
        <f t="shared" si="16"/>
        <v>578956.11011380644</v>
      </c>
      <c r="P58" s="336">
        <f t="shared" si="16"/>
        <v>584745.67121494515</v>
      </c>
      <c r="Q58" s="336">
        <f t="shared" si="16"/>
        <v>590593.12792709423</v>
      </c>
      <c r="R58" s="336">
        <f t="shared" si="16"/>
        <v>596499.05920636491</v>
      </c>
      <c r="S58" s="336">
        <f t="shared" si="16"/>
        <v>602464.04979842878</v>
      </c>
      <c r="T58" s="336">
        <f t="shared" si="16"/>
        <v>608488.69029641314</v>
      </c>
      <c r="U58" s="336">
        <f t="shared" si="16"/>
        <v>614573.57719937689</v>
      </c>
      <c r="V58" s="336">
        <f t="shared" si="16"/>
        <v>620719.31297137018</v>
      </c>
      <c r="W58" s="336">
        <f t="shared" si="16"/>
        <v>626926.50610108406</v>
      </c>
      <c r="X58" s="336">
        <f t="shared" si="16"/>
        <v>633195.77116209513</v>
      </c>
      <c r="Y58" s="336">
        <f t="shared" si="16"/>
        <v>639527.7288737162</v>
      </c>
      <c r="Z58" s="336">
        <f t="shared" si="16"/>
        <v>645923.00616245333</v>
      </c>
      <c r="AA58" s="336">
        <f t="shared" si="16"/>
        <v>652382.23622407753</v>
      </c>
      <c r="AB58" s="336">
        <f t="shared" si="16"/>
        <v>658906.05858631805</v>
      </c>
      <c r="AC58" s="19"/>
      <c r="AD58" s="19"/>
      <c r="AE58" s="19"/>
      <c r="AF58" s="19"/>
    </row>
    <row r="59" spans="2:32 16384:16384" s="90" customFormat="1" x14ac:dyDescent="0.3">
      <c r="B59" s="74"/>
      <c r="C59" s="13"/>
      <c r="D59" s="336"/>
      <c r="E59" s="336"/>
      <c r="F59" s="336"/>
      <c r="G59" s="336"/>
      <c r="H59" s="336"/>
      <c r="I59" s="336"/>
      <c r="J59" s="336"/>
      <c r="K59" s="336"/>
      <c r="L59" s="336"/>
      <c r="M59" s="336"/>
      <c r="N59" s="336"/>
      <c r="O59" s="336"/>
      <c r="P59" s="336"/>
      <c r="Q59" s="336"/>
      <c r="R59" s="336"/>
      <c r="S59" s="336"/>
      <c r="T59" s="336"/>
      <c r="U59" s="336"/>
      <c r="V59" s="336"/>
      <c r="W59" s="336"/>
      <c r="X59" s="336"/>
      <c r="Y59" s="336"/>
      <c r="Z59" s="336"/>
      <c r="AA59" s="336"/>
      <c r="AB59" s="336"/>
    </row>
    <row r="60" spans="2:32 16384:16384" x14ac:dyDescent="0.3">
      <c r="B60" s="77" t="s">
        <v>145</v>
      </c>
      <c r="C60" s="13"/>
      <c r="D60" s="335">
        <f>D57-D58</f>
        <v>300219</v>
      </c>
      <c r="E60" s="335">
        <f t="shared" ref="E60:AB60" si="17">E57-E58</f>
        <v>496695.93309668603</v>
      </c>
      <c r="F60" s="335">
        <f t="shared" si="17"/>
        <v>684289.12451263913</v>
      </c>
      <c r="G60" s="335">
        <f t="shared" si="17"/>
        <v>846458.04768639919</v>
      </c>
      <c r="H60" s="335">
        <f t="shared" si="17"/>
        <v>1199644.2946098982</v>
      </c>
      <c r="I60" s="335">
        <f t="shared" si="17"/>
        <v>1213266.5059989286</v>
      </c>
      <c r="J60" s="335">
        <f t="shared" si="17"/>
        <v>1225721.6710589179</v>
      </c>
      <c r="K60" s="335">
        <f t="shared" si="17"/>
        <v>1238301.3877695056</v>
      </c>
      <c r="L60" s="335">
        <f t="shared" si="17"/>
        <v>1251006.901647201</v>
      </c>
      <c r="M60" s="335">
        <f t="shared" si="17"/>
        <v>1263839.470663676</v>
      </c>
      <c r="N60" s="335">
        <f t="shared" si="17"/>
        <v>994050.36537031084</v>
      </c>
      <c r="O60" s="335">
        <f t="shared" si="17"/>
        <v>1322140.8690240127</v>
      </c>
      <c r="P60" s="335">
        <f t="shared" si="17"/>
        <v>1335362.2777142548</v>
      </c>
      <c r="Q60" s="335">
        <f t="shared" si="17"/>
        <v>1348715.9004913964</v>
      </c>
      <c r="R60" s="335">
        <f t="shared" si="17"/>
        <v>1362203.0594963094</v>
      </c>
      <c r="S60" s="335">
        <f t="shared" si="17"/>
        <v>1375825.0900912734</v>
      </c>
      <c r="T60" s="335">
        <f t="shared" si="17"/>
        <v>1389583.3409921865</v>
      </c>
      <c r="U60" s="335">
        <f t="shared" si="17"/>
        <v>1403479.1744021068</v>
      </c>
      <c r="V60" s="335">
        <f t="shared" si="17"/>
        <v>1417513.9661461264</v>
      </c>
      <c r="W60" s="335">
        <f t="shared" si="17"/>
        <v>1431689.1058075884</v>
      </c>
      <c r="X60" s="335">
        <f t="shared" si="17"/>
        <v>1446005.9968656651</v>
      </c>
      <c r="Y60" s="335">
        <f t="shared" si="17"/>
        <v>1460466.0568343219</v>
      </c>
      <c r="Z60" s="335">
        <f t="shared" si="17"/>
        <v>1475070.7174026649</v>
      </c>
      <c r="AA60" s="335">
        <f t="shared" si="17"/>
        <v>1489821.4245766904</v>
      </c>
      <c r="AB60" s="335">
        <f t="shared" si="17"/>
        <v>1504719.6388224568</v>
      </c>
      <c r="AC60" s="9"/>
      <c r="AD60" s="9"/>
      <c r="AE60" s="9"/>
      <c r="AF60" s="9"/>
    </row>
    <row r="61" spans="2:32 16384:16384" s="2" customFormat="1" x14ac:dyDescent="0.3">
      <c r="B61" s="88" t="s">
        <v>146</v>
      </c>
      <c r="C61" s="89"/>
      <c r="D61" s="337">
        <f t="shared" ref="D61:AB61" si="18">D60/D39</f>
        <v>0.1432889461626575</v>
      </c>
      <c r="E61" s="337">
        <f t="shared" si="18"/>
        <v>0.12340664078179034</v>
      </c>
      <c r="F61" s="337">
        <f t="shared" si="18"/>
        <v>0.11484011104371733</v>
      </c>
      <c r="G61" s="337">
        <f t="shared" si="18"/>
        <v>0.10759132563933199</v>
      </c>
      <c r="H61" s="337">
        <f t="shared" si="18"/>
        <v>0.11939588723871704</v>
      </c>
      <c r="I61" s="337">
        <f t="shared" si="18"/>
        <v>0.11955609154653855</v>
      </c>
      <c r="J61" s="337">
        <f t="shared" si="18"/>
        <v>0.11958755626467643</v>
      </c>
      <c r="K61" s="337">
        <f t="shared" si="18"/>
        <v>0.11961870945095143</v>
      </c>
      <c r="L61" s="337">
        <f t="shared" si="18"/>
        <v>0.11964955418983773</v>
      </c>
      <c r="M61" s="337">
        <f t="shared" si="18"/>
        <v>0.11968009353526993</v>
      </c>
      <c r="N61" s="337">
        <f t="shared" si="18"/>
        <v>9.3200237884089612E-2</v>
      </c>
      <c r="O61" s="337">
        <f t="shared" si="18"/>
        <v>0.12273402807846416</v>
      </c>
      <c r="P61" s="337">
        <f t="shared" si="18"/>
        <v>0.12273402807846433</v>
      </c>
      <c r="Q61" s="337">
        <f t="shared" si="18"/>
        <v>0.12273402807846424</v>
      </c>
      <c r="R61" s="337">
        <f t="shared" si="18"/>
        <v>0.12273402807846416</v>
      </c>
      <c r="S61" s="337">
        <f t="shared" si="18"/>
        <v>0.12273402807846423</v>
      </c>
      <c r="T61" s="337">
        <f t="shared" si="18"/>
        <v>0.12273402807846426</v>
      </c>
      <c r="U61" s="337">
        <f t="shared" si="18"/>
        <v>0.12273402807846412</v>
      </c>
      <c r="V61" s="337">
        <f t="shared" si="18"/>
        <v>0.12273402807846402</v>
      </c>
      <c r="W61" s="337">
        <f t="shared" si="18"/>
        <v>0.12273402807846409</v>
      </c>
      <c r="X61" s="337">
        <f t="shared" si="18"/>
        <v>0.12273402807846415</v>
      </c>
      <c r="Y61" s="337">
        <f t="shared" si="18"/>
        <v>0.12273402807846416</v>
      </c>
      <c r="Z61" s="337">
        <f t="shared" si="18"/>
        <v>0.12273402807846413</v>
      </c>
      <c r="AA61" s="337">
        <f t="shared" si="18"/>
        <v>0.12273402807846406</v>
      </c>
      <c r="AB61" s="337">
        <f t="shared" si="18"/>
        <v>0.12273402807846402</v>
      </c>
      <c r="AC61" s="20"/>
      <c r="AD61" s="20"/>
      <c r="AE61" s="20"/>
      <c r="AF61" s="20"/>
    </row>
    <row r="62" spans="2:32 16384:16384" s="2" customFormat="1" x14ac:dyDescent="0.3">
      <c r="B62" s="74"/>
      <c r="C62" s="17"/>
      <c r="D62" s="336"/>
      <c r="E62" s="336"/>
      <c r="F62" s="336"/>
      <c r="G62" s="336"/>
      <c r="H62" s="336"/>
      <c r="I62" s="336"/>
      <c r="J62" s="336"/>
      <c r="K62" s="336"/>
      <c r="L62" s="336"/>
      <c r="M62" s="336"/>
      <c r="N62" s="336"/>
      <c r="O62" s="336"/>
      <c r="P62" s="336"/>
      <c r="Q62" s="336"/>
      <c r="R62" s="336"/>
      <c r="S62" s="336"/>
      <c r="T62" s="336"/>
      <c r="U62" s="336"/>
      <c r="V62" s="336"/>
      <c r="W62" s="336"/>
      <c r="X62" s="336"/>
      <c r="Y62" s="336"/>
      <c r="Z62" s="336"/>
      <c r="AA62" s="336"/>
      <c r="AB62" s="336"/>
      <c r="AC62" s="20"/>
      <c r="AD62" s="20"/>
      <c r="AE62" s="20"/>
      <c r="AF62" s="20"/>
    </row>
    <row r="63" spans="2:32 16384:16384" outlineLevel="1" x14ac:dyDescent="0.3">
      <c r="B63" s="155" t="s">
        <v>147</v>
      </c>
      <c r="D63" s="338"/>
      <c r="E63" s="338"/>
      <c r="F63" s="338"/>
      <c r="G63" s="338"/>
      <c r="H63" s="338"/>
      <c r="I63" s="334"/>
      <c r="J63" s="334"/>
      <c r="K63" s="334"/>
      <c r="L63" s="334"/>
      <c r="M63" s="334"/>
      <c r="N63" s="334"/>
      <c r="O63" s="334"/>
      <c r="P63" s="334"/>
      <c r="Q63" s="334"/>
      <c r="R63" s="334"/>
      <c r="S63" s="334"/>
      <c r="T63" s="334"/>
      <c r="U63" s="334"/>
      <c r="V63" s="334"/>
      <c r="W63" s="334"/>
      <c r="X63" s="334"/>
      <c r="Y63" s="334"/>
      <c r="Z63" s="334"/>
      <c r="AA63" s="334"/>
      <c r="AB63" s="334"/>
      <c r="AC63" s="21"/>
      <c r="AD63" s="21"/>
      <c r="AE63" s="21"/>
      <c r="AF63" s="21"/>
      <c r="XFD63" s="127">
        <f t="shared" ref="XFD63:XFD69" si="19">SUM(D63:XFC63)</f>
        <v>0</v>
      </c>
    </row>
    <row r="64" spans="2:32 16384:16384" ht="15.6" outlineLevel="1" x14ac:dyDescent="0.3">
      <c r="B64" s="101" t="s">
        <v>148</v>
      </c>
      <c r="C64" s="102"/>
      <c r="D64" s="443">
        <f t="shared" ref="D64:AB64" si="20">+D53+D56-D91</f>
        <v>343219</v>
      </c>
      <c r="E64" s="443">
        <f t="shared" si="20"/>
        <v>539695.93309668603</v>
      </c>
      <c r="F64" s="443">
        <f t="shared" si="20"/>
        <v>727289.12451263913</v>
      </c>
      <c r="G64" s="443">
        <f t="shared" si="20"/>
        <v>889458.04768639919</v>
      </c>
      <c r="H64" s="443">
        <f t="shared" si="20"/>
        <v>1242644.2946098982</v>
      </c>
      <c r="I64" s="444">
        <f t="shared" si="20"/>
        <v>1256266.5059989286</v>
      </c>
      <c r="J64" s="444">
        <f t="shared" si="20"/>
        <v>1268721.6710589179</v>
      </c>
      <c r="K64" s="444">
        <f t="shared" si="20"/>
        <v>1281301.3877695056</v>
      </c>
      <c r="L64" s="444">
        <f t="shared" si="20"/>
        <v>1294006.901647201</v>
      </c>
      <c r="M64" s="444">
        <f t="shared" si="20"/>
        <v>1306839.470663676</v>
      </c>
      <c r="N64" s="444">
        <f t="shared" si="20"/>
        <v>1414050.3653703108</v>
      </c>
      <c r="O64" s="444">
        <f t="shared" si="20"/>
        <v>1322140.8690240127</v>
      </c>
      <c r="P64" s="444">
        <f t="shared" si="20"/>
        <v>1335362.2777142548</v>
      </c>
      <c r="Q64" s="444">
        <f t="shared" si="20"/>
        <v>1348715.9004913964</v>
      </c>
      <c r="R64" s="444">
        <f t="shared" si="20"/>
        <v>1362203.0594963094</v>
      </c>
      <c r="S64" s="444">
        <f t="shared" si="20"/>
        <v>1375825.0900912734</v>
      </c>
      <c r="T64" s="444">
        <f t="shared" si="20"/>
        <v>1389583.3409921865</v>
      </c>
      <c r="U64" s="444">
        <f t="shared" si="20"/>
        <v>1403479.1744021068</v>
      </c>
      <c r="V64" s="444">
        <f t="shared" si="20"/>
        <v>1417513.9661461264</v>
      </c>
      <c r="W64" s="444">
        <f t="shared" si="20"/>
        <v>1431689.1058075884</v>
      </c>
      <c r="X64" s="444">
        <f t="shared" si="20"/>
        <v>1446005.9968656651</v>
      </c>
      <c r="Y64" s="444">
        <f t="shared" si="20"/>
        <v>1460466.0568343219</v>
      </c>
      <c r="Z64" s="444">
        <f t="shared" si="20"/>
        <v>1475070.7174026649</v>
      </c>
      <c r="AA64" s="444">
        <f t="shared" si="20"/>
        <v>1489821.4245766904</v>
      </c>
      <c r="AB64" s="444">
        <f t="shared" si="20"/>
        <v>1504719.6388224568</v>
      </c>
      <c r="AC64" s="21"/>
      <c r="AD64" s="21"/>
      <c r="AE64" s="21"/>
      <c r="AF64" s="21"/>
      <c r="XFD64" s="127">
        <f t="shared" si="19"/>
        <v>31326089.321081214</v>
      </c>
    </row>
    <row r="65" spans="1:32 16384:16384" outlineLevel="1" x14ac:dyDescent="0.3">
      <c r="B65" s="103" t="s">
        <v>149</v>
      </c>
      <c r="C65" s="1"/>
      <c r="D65" s="445">
        <f>-'SITE Model - INPUT PARAMETERS'!C35</f>
        <v>-430000</v>
      </c>
      <c r="E65" s="445">
        <v>0</v>
      </c>
      <c r="F65" s="445">
        <v>0</v>
      </c>
      <c r="G65" s="445">
        <v>0</v>
      </c>
      <c r="H65" s="446">
        <v>0</v>
      </c>
      <c r="I65" s="447">
        <v>0</v>
      </c>
      <c r="J65" s="447">
        <v>0</v>
      </c>
      <c r="K65" s="447">
        <v>0</v>
      </c>
      <c r="L65" s="447">
        <v>0</v>
      </c>
      <c r="M65" s="447">
        <v>0</v>
      </c>
      <c r="N65" s="447">
        <v>0</v>
      </c>
      <c r="O65" s="447">
        <v>0</v>
      </c>
      <c r="P65" s="447">
        <v>0</v>
      </c>
      <c r="Q65" s="447">
        <v>0</v>
      </c>
      <c r="R65" s="447">
        <v>0</v>
      </c>
      <c r="S65" s="447">
        <v>0</v>
      </c>
      <c r="T65" s="447">
        <v>0</v>
      </c>
      <c r="U65" s="447">
        <v>0</v>
      </c>
      <c r="V65" s="447">
        <v>0</v>
      </c>
      <c r="W65" s="447">
        <v>0</v>
      </c>
      <c r="X65" s="447">
        <v>0</v>
      </c>
      <c r="Y65" s="447">
        <v>0</v>
      </c>
      <c r="Z65" s="447">
        <v>0</v>
      </c>
      <c r="AA65" s="447">
        <v>0</v>
      </c>
      <c r="AB65" s="447">
        <v>0</v>
      </c>
      <c r="AC65" s="21"/>
      <c r="AD65" s="21"/>
      <c r="AE65" s="21"/>
      <c r="AF65" s="21"/>
      <c r="XFD65" s="127">
        <f t="shared" si="19"/>
        <v>-430000</v>
      </c>
    </row>
    <row r="66" spans="1:32 16384:16384" outlineLevel="1" x14ac:dyDescent="0.3">
      <c r="B66" s="103" t="s">
        <v>150</v>
      </c>
      <c r="C66" s="1"/>
      <c r="D66" s="445">
        <f>SUM(D67:D72)</f>
        <v>392949.48113019299</v>
      </c>
      <c r="E66" s="445">
        <f t="shared" ref="E66:AB66" si="21">SUM(E67:E72)</f>
        <v>-91310.731256550818</v>
      </c>
      <c r="F66" s="445">
        <f t="shared" si="21"/>
        <v>-95780.261720361974</v>
      </c>
      <c r="G66" s="445">
        <f t="shared" si="21"/>
        <v>-100469.42846340303</v>
      </c>
      <c r="H66" s="445">
        <f t="shared" si="21"/>
        <v>-105389.05968987709</v>
      </c>
      <c r="I66" s="445">
        <f t="shared" si="21"/>
        <v>0</v>
      </c>
      <c r="J66" s="445">
        <f t="shared" si="21"/>
        <v>0</v>
      </c>
      <c r="K66" s="445">
        <f t="shared" si="21"/>
        <v>0</v>
      </c>
      <c r="L66" s="445">
        <f t="shared" si="21"/>
        <v>0</v>
      </c>
      <c r="M66" s="445">
        <f t="shared" si="21"/>
        <v>0</v>
      </c>
      <c r="N66" s="445">
        <f t="shared" si="21"/>
        <v>0</v>
      </c>
      <c r="O66" s="445">
        <f t="shared" si="21"/>
        <v>0</v>
      </c>
      <c r="P66" s="445">
        <f t="shared" si="21"/>
        <v>0</v>
      </c>
      <c r="Q66" s="445">
        <f t="shared" si="21"/>
        <v>0</v>
      </c>
      <c r="R66" s="445">
        <f t="shared" si="21"/>
        <v>0</v>
      </c>
      <c r="S66" s="445">
        <f t="shared" si="21"/>
        <v>0</v>
      </c>
      <c r="T66" s="445">
        <f t="shared" si="21"/>
        <v>0</v>
      </c>
      <c r="U66" s="445">
        <f t="shared" si="21"/>
        <v>0</v>
      </c>
      <c r="V66" s="445">
        <f t="shared" si="21"/>
        <v>0</v>
      </c>
      <c r="W66" s="445">
        <f t="shared" si="21"/>
        <v>0</v>
      </c>
      <c r="X66" s="445">
        <f t="shared" si="21"/>
        <v>0</v>
      </c>
      <c r="Y66" s="445">
        <f t="shared" si="21"/>
        <v>0</v>
      </c>
      <c r="Z66" s="445">
        <f t="shared" si="21"/>
        <v>0</v>
      </c>
      <c r="AA66" s="445">
        <f t="shared" si="21"/>
        <v>0</v>
      </c>
      <c r="AB66" s="445">
        <f t="shared" si="21"/>
        <v>0</v>
      </c>
      <c r="AC66" s="21"/>
      <c r="AD66" s="21"/>
      <c r="AE66" s="21"/>
      <c r="AF66" s="21"/>
      <c r="XFD66" s="127">
        <f t="shared" si="19"/>
        <v>7.2759576141834259E-11</v>
      </c>
    </row>
    <row r="67" spans="1:32 16384:16384" outlineLevel="1" x14ac:dyDescent="0.3">
      <c r="B67" s="106" t="s">
        <v>151</v>
      </c>
      <c r="C67" s="1"/>
      <c r="D67" s="448">
        <f>+'SITE Model - INPUT PARAMETERS'!C43</f>
        <v>50000</v>
      </c>
      <c r="E67" s="448"/>
      <c r="F67" s="448"/>
      <c r="G67" s="448"/>
      <c r="H67" s="449"/>
      <c r="I67" s="450"/>
      <c r="J67" s="450"/>
      <c r="K67" s="450"/>
      <c r="L67" s="450"/>
      <c r="M67" s="450"/>
      <c r="N67" s="450"/>
      <c r="O67" s="450"/>
      <c r="P67" s="450"/>
      <c r="Q67" s="450"/>
      <c r="R67" s="450"/>
      <c r="S67" s="450"/>
      <c r="T67" s="450"/>
      <c r="U67" s="450"/>
      <c r="V67" s="450"/>
      <c r="W67" s="450"/>
      <c r="X67" s="450"/>
      <c r="Y67" s="450"/>
      <c r="Z67" s="450"/>
      <c r="AA67" s="450"/>
      <c r="AB67" s="450"/>
      <c r="AC67" s="21"/>
      <c r="AD67" s="21"/>
      <c r="AE67" s="21"/>
      <c r="AF67" s="21"/>
      <c r="XFD67" s="127">
        <f t="shared" si="19"/>
        <v>50000</v>
      </c>
    </row>
    <row r="68" spans="1:32 16384:16384" outlineLevel="1" x14ac:dyDescent="0.3">
      <c r="B68" s="106" t="s">
        <v>152</v>
      </c>
      <c r="C68" s="1"/>
      <c r="D68" s="448">
        <f t="shared" ref="D68:AB68" si="22">+D22</f>
        <v>-9231.355674651697</v>
      </c>
      <c r="E68" s="448">
        <f t="shared" si="22"/>
        <v>-9600.609901637763</v>
      </c>
      <c r="F68" s="448">
        <f t="shared" si="22"/>
        <v>-9984.6342977032746</v>
      </c>
      <c r="G68" s="448">
        <f t="shared" si="22"/>
        <v>-10384.019669611405</v>
      </c>
      <c r="H68" s="448">
        <f t="shared" si="22"/>
        <v>-10799.380456395862</v>
      </c>
      <c r="I68" s="448">
        <f t="shared" si="22"/>
        <v>0</v>
      </c>
      <c r="J68" s="448">
        <f t="shared" si="22"/>
        <v>0</v>
      </c>
      <c r="K68" s="448">
        <f t="shared" si="22"/>
        <v>0</v>
      </c>
      <c r="L68" s="448">
        <f t="shared" si="22"/>
        <v>0</v>
      </c>
      <c r="M68" s="448">
        <f t="shared" si="22"/>
        <v>0</v>
      </c>
      <c r="N68" s="448">
        <f t="shared" si="22"/>
        <v>0</v>
      </c>
      <c r="O68" s="448">
        <f t="shared" si="22"/>
        <v>0</v>
      </c>
      <c r="P68" s="448">
        <f t="shared" si="22"/>
        <v>0</v>
      </c>
      <c r="Q68" s="448">
        <f t="shared" si="22"/>
        <v>0</v>
      </c>
      <c r="R68" s="448">
        <f t="shared" si="22"/>
        <v>0</v>
      </c>
      <c r="S68" s="448">
        <f t="shared" si="22"/>
        <v>0</v>
      </c>
      <c r="T68" s="448">
        <f t="shared" si="22"/>
        <v>0</v>
      </c>
      <c r="U68" s="448">
        <f t="shared" si="22"/>
        <v>0</v>
      </c>
      <c r="V68" s="448">
        <f t="shared" si="22"/>
        <v>0</v>
      </c>
      <c r="W68" s="448">
        <f t="shared" si="22"/>
        <v>0</v>
      </c>
      <c r="X68" s="448">
        <f t="shared" si="22"/>
        <v>0</v>
      </c>
      <c r="Y68" s="448">
        <f t="shared" si="22"/>
        <v>0</v>
      </c>
      <c r="Z68" s="448">
        <f t="shared" si="22"/>
        <v>0</v>
      </c>
      <c r="AA68" s="448">
        <f t="shared" si="22"/>
        <v>0</v>
      </c>
      <c r="AB68" s="448">
        <f t="shared" si="22"/>
        <v>0</v>
      </c>
      <c r="AC68" s="21"/>
      <c r="AD68" s="21"/>
      <c r="AE68" s="21"/>
      <c r="AF68" s="21"/>
      <c r="XFD68" s="127">
        <f t="shared" si="19"/>
        <v>-50000.000000000007</v>
      </c>
    </row>
    <row r="69" spans="1:32 16384:16384" outlineLevel="1" x14ac:dyDescent="0.3">
      <c r="B69" s="106" t="s">
        <v>153</v>
      </c>
      <c r="C69" s="1"/>
      <c r="D69" s="448">
        <f>+'SITE Model - INPUT PARAMETERS'!C39</f>
        <v>0</v>
      </c>
      <c r="E69" s="448"/>
      <c r="F69" s="448"/>
      <c r="G69" s="448"/>
      <c r="H69" s="448"/>
      <c r="I69" s="450"/>
      <c r="J69" s="450"/>
      <c r="K69" s="450"/>
      <c r="L69" s="450"/>
      <c r="M69" s="450"/>
      <c r="N69" s="450"/>
      <c r="O69" s="450"/>
      <c r="P69" s="450"/>
      <c r="Q69" s="450"/>
      <c r="R69" s="450"/>
      <c r="S69" s="450"/>
      <c r="T69" s="450"/>
      <c r="U69" s="450"/>
      <c r="V69" s="450"/>
      <c r="W69" s="450"/>
      <c r="X69" s="450"/>
      <c r="Y69" s="450"/>
      <c r="Z69" s="450"/>
      <c r="AA69" s="450"/>
      <c r="AB69" s="450"/>
      <c r="AC69" s="21"/>
      <c r="AD69" s="21"/>
      <c r="AE69" s="21"/>
      <c r="AF69" s="21"/>
      <c r="XFD69" s="127">
        <f t="shared" si="19"/>
        <v>0</v>
      </c>
    </row>
    <row r="70" spans="1:32 16384:16384" outlineLevel="1" x14ac:dyDescent="0.3">
      <c r="B70" s="106" t="s">
        <v>154</v>
      </c>
      <c r="C70" s="1"/>
      <c r="D70" s="448">
        <f>+'SITE Model - INPUT PARAMETERS'!C39</f>
        <v>0</v>
      </c>
      <c r="E70" s="448"/>
      <c r="F70" s="448"/>
      <c r="G70" s="448"/>
      <c r="H70" s="448"/>
      <c r="I70" s="449"/>
      <c r="J70" s="450"/>
      <c r="K70" s="450"/>
      <c r="L70" s="450"/>
      <c r="M70" s="450"/>
      <c r="N70" s="450"/>
      <c r="O70" s="450"/>
      <c r="P70" s="450"/>
      <c r="Q70" s="450"/>
      <c r="R70" s="450"/>
      <c r="S70" s="450"/>
      <c r="T70" s="450"/>
      <c r="U70" s="450"/>
      <c r="V70" s="450"/>
      <c r="W70" s="450"/>
      <c r="X70" s="450"/>
      <c r="Y70" s="450"/>
      <c r="Z70" s="450"/>
      <c r="AA70" s="450"/>
      <c r="AB70" s="450"/>
      <c r="AC70" s="21"/>
      <c r="AD70" s="21"/>
      <c r="AE70" s="21"/>
      <c r="AF70" s="21"/>
    </row>
    <row r="71" spans="1:32 16384:16384" outlineLevel="1" x14ac:dyDescent="0.3">
      <c r="B71" s="106" t="s">
        <v>155</v>
      </c>
      <c r="C71" s="1"/>
      <c r="D71" s="448">
        <f t="shared" ref="D71:AB71" si="23">+D15</f>
        <v>-77819.163195155284</v>
      </c>
      <c r="E71" s="448">
        <f t="shared" si="23"/>
        <v>-81710.121354913048</v>
      </c>
      <c r="F71" s="448">
        <f t="shared" si="23"/>
        <v>-85795.627422658697</v>
      </c>
      <c r="G71" s="448">
        <f t="shared" si="23"/>
        <v>-90085.408793791634</v>
      </c>
      <c r="H71" s="448">
        <f t="shared" si="23"/>
        <v>-94589.67923348122</v>
      </c>
      <c r="I71" s="448">
        <f t="shared" si="23"/>
        <v>0</v>
      </c>
      <c r="J71" s="448">
        <f t="shared" si="23"/>
        <v>0</v>
      </c>
      <c r="K71" s="448">
        <f t="shared" si="23"/>
        <v>0</v>
      </c>
      <c r="L71" s="448">
        <f t="shared" si="23"/>
        <v>0</v>
      </c>
      <c r="M71" s="448">
        <f t="shared" si="23"/>
        <v>0</v>
      </c>
      <c r="N71" s="448">
        <f t="shared" si="23"/>
        <v>0</v>
      </c>
      <c r="O71" s="448">
        <f t="shared" si="23"/>
        <v>0</v>
      </c>
      <c r="P71" s="448">
        <f t="shared" si="23"/>
        <v>0</v>
      </c>
      <c r="Q71" s="448">
        <f t="shared" si="23"/>
        <v>0</v>
      </c>
      <c r="R71" s="448">
        <f t="shared" si="23"/>
        <v>0</v>
      </c>
      <c r="S71" s="448">
        <f t="shared" si="23"/>
        <v>0</v>
      </c>
      <c r="T71" s="448">
        <f t="shared" si="23"/>
        <v>0</v>
      </c>
      <c r="U71" s="448">
        <f t="shared" si="23"/>
        <v>0</v>
      </c>
      <c r="V71" s="448">
        <f t="shared" si="23"/>
        <v>0</v>
      </c>
      <c r="W71" s="448">
        <f t="shared" si="23"/>
        <v>0</v>
      </c>
      <c r="X71" s="448">
        <f t="shared" si="23"/>
        <v>0</v>
      </c>
      <c r="Y71" s="448">
        <f t="shared" si="23"/>
        <v>0</v>
      </c>
      <c r="Z71" s="448">
        <f t="shared" si="23"/>
        <v>0</v>
      </c>
      <c r="AA71" s="448">
        <f t="shared" si="23"/>
        <v>0</v>
      </c>
      <c r="AB71" s="448">
        <f t="shared" si="23"/>
        <v>0</v>
      </c>
      <c r="AC71" s="21"/>
      <c r="AD71" s="21"/>
      <c r="AE71" s="21"/>
      <c r="AF71" s="21"/>
      <c r="XFD71" s="127">
        <f>SUM(D71:XFC71)</f>
        <v>-429999.99999999988</v>
      </c>
    </row>
    <row r="72" spans="1:32 16384:16384" outlineLevel="1" x14ac:dyDescent="0.3">
      <c r="B72" s="106" t="s">
        <v>156</v>
      </c>
      <c r="C72" s="105"/>
      <c r="D72" s="448">
        <f>+'SITE Model - INPUT PARAMETERS'!C40</f>
        <v>430000</v>
      </c>
      <c r="E72" s="451"/>
      <c r="F72" s="451"/>
      <c r="G72" s="451"/>
      <c r="H72" s="452"/>
      <c r="I72" s="453"/>
      <c r="J72" s="453"/>
      <c r="K72" s="453"/>
      <c r="L72" s="453"/>
      <c r="M72" s="453"/>
      <c r="N72" s="453"/>
      <c r="O72" s="453"/>
      <c r="P72" s="453"/>
      <c r="Q72" s="453"/>
      <c r="R72" s="453"/>
      <c r="S72" s="453"/>
      <c r="T72" s="453"/>
      <c r="U72" s="453"/>
      <c r="V72" s="453"/>
      <c r="W72" s="453"/>
      <c r="X72" s="453"/>
      <c r="Y72" s="453"/>
      <c r="Z72" s="453"/>
      <c r="AA72" s="453"/>
      <c r="AB72" s="453"/>
      <c r="AC72" s="21"/>
      <c r="AD72" s="21"/>
      <c r="AE72" s="21"/>
      <c r="AF72" s="21"/>
      <c r="XFD72" s="127">
        <f>SUM(D72:XFC72)</f>
        <v>430000</v>
      </c>
    </row>
    <row r="73" spans="1:32 16384:16384" x14ac:dyDescent="0.3">
      <c r="B73" s="107" t="s">
        <v>157</v>
      </c>
      <c r="C73" s="108"/>
      <c r="D73" s="339">
        <f>SUM(D64:D66)</f>
        <v>306168.48113019299</v>
      </c>
      <c r="E73" s="339">
        <f>SUM(E64:E66)</f>
        <v>448385.20184013521</v>
      </c>
      <c r="F73" s="339">
        <f t="shared" ref="F73:AB73" si="24">SUM(F64:F66)</f>
        <v>631508.86279227713</v>
      </c>
      <c r="G73" s="339">
        <f t="shared" si="24"/>
        <v>788988.61922299617</v>
      </c>
      <c r="H73" s="339">
        <f t="shared" si="24"/>
        <v>1137255.2349200211</v>
      </c>
      <c r="I73" s="339">
        <f t="shared" si="24"/>
        <v>1256266.5059989286</v>
      </c>
      <c r="J73" s="339">
        <f t="shared" si="24"/>
        <v>1268721.6710589179</v>
      </c>
      <c r="K73" s="339">
        <f t="shared" si="24"/>
        <v>1281301.3877695056</v>
      </c>
      <c r="L73" s="339">
        <f t="shared" si="24"/>
        <v>1294006.901647201</v>
      </c>
      <c r="M73" s="339">
        <f t="shared" si="24"/>
        <v>1306839.470663676</v>
      </c>
      <c r="N73" s="339">
        <f t="shared" si="24"/>
        <v>1414050.3653703108</v>
      </c>
      <c r="O73" s="339">
        <f t="shared" si="24"/>
        <v>1322140.8690240127</v>
      </c>
      <c r="P73" s="339">
        <f t="shared" si="24"/>
        <v>1335362.2777142548</v>
      </c>
      <c r="Q73" s="339">
        <f t="shared" si="24"/>
        <v>1348715.9004913964</v>
      </c>
      <c r="R73" s="339">
        <f t="shared" si="24"/>
        <v>1362203.0594963094</v>
      </c>
      <c r="S73" s="339">
        <f t="shared" si="24"/>
        <v>1375825.0900912734</v>
      </c>
      <c r="T73" s="339">
        <f t="shared" si="24"/>
        <v>1389583.3409921865</v>
      </c>
      <c r="U73" s="339">
        <f t="shared" si="24"/>
        <v>1403479.1744021068</v>
      </c>
      <c r="V73" s="339">
        <f t="shared" si="24"/>
        <v>1417513.9661461264</v>
      </c>
      <c r="W73" s="339">
        <f t="shared" si="24"/>
        <v>1431689.1058075884</v>
      </c>
      <c r="X73" s="339">
        <f t="shared" si="24"/>
        <v>1446005.9968656651</v>
      </c>
      <c r="Y73" s="339">
        <f t="shared" si="24"/>
        <v>1460466.0568343219</v>
      </c>
      <c r="Z73" s="339">
        <f t="shared" si="24"/>
        <v>1475070.7174026649</v>
      </c>
      <c r="AA73" s="339">
        <f t="shared" si="24"/>
        <v>1489821.4245766904</v>
      </c>
      <c r="AB73" s="342">
        <f t="shared" si="24"/>
        <v>1504719.6388224568</v>
      </c>
      <c r="AC73" s="21"/>
      <c r="AD73" s="21"/>
      <c r="AE73" s="21"/>
      <c r="AF73" s="21"/>
    </row>
    <row r="74" spans="1:32 16384:16384" x14ac:dyDescent="0.3">
      <c r="B74" s="104" t="s">
        <v>158</v>
      </c>
      <c r="C74" s="105"/>
      <c r="D74" s="340">
        <f>+D73</f>
        <v>306168.48113019299</v>
      </c>
      <c r="E74" s="340">
        <f>+E73+D74</f>
        <v>754553.68297032826</v>
      </c>
      <c r="F74" s="340">
        <f t="shared" ref="F74:AB74" si="25">+F73+E74</f>
        <v>1386062.5457626055</v>
      </c>
      <c r="G74" s="340">
        <f t="shared" si="25"/>
        <v>2175051.1649856018</v>
      </c>
      <c r="H74" s="340">
        <f t="shared" si="25"/>
        <v>3312306.3999056229</v>
      </c>
      <c r="I74" s="340">
        <f t="shared" si="25"/>
        <v>4568572.905904552</v>
      </c>
      <c r="J74" s="340">
        <f t="shared" si="25"/>
        <v>5837294.5769634694</v>
      </c>
      <c r="K74" s="340">
        <f t="shared" si="25"/>
        <v>7118595.9647329748</v>
      </c>
      <c r="L74" s="340">
        <f t="shared" si="25"/>
        <v>8412602.8663801756</v>
      </c>
      <c r="M74" s="340">
        <f t="shared" si="25"/>
        <v>9719442.3370438516</v>
      </c>
      <c r="N74" s="340">
        <f t="shared" si="25"/>
        <v>11133492.702414162</v>
      </c>
      <c r="O74" s="340">
        <f t="shared" si="25"/>
        <v>12455633.571438175</v>
      </c>
      <c r="P74" s="340">
        <f t="shared" si="25"/>
        <v>13790995.849152429</v>
      </c>
      <c r="Q74" s="340">
        <f t="shared" si="25"/>
        <v>15139711.749643825</v>
      </c>
      <c r="R74" s="340">
        <f t="shared" si="25"/>
        <v>16501914.809140135</v>
      </c>
      <c r="S74" s="340">
        <f t="shared" si="25"/>
        <v>17877739.899231408</v>
      </c>
      <c r="T74" s="340">
        <f t="shared" si="25"/>
        <v>19267323.240223594</v>
      </c>
      <c r="U74" s="340">
        <f t="shared" si="25"/>
        <v>20670802.414625701</v>
      </c>
      <c r="V74" s="340">
        <f t="shared" si="25"/>
        <v>22088316.380771827</v>
      </c>
      <c r="W74" s="340">
        <f t="shared" si="25"/>
        <v>23520005.486579414</v>
      </c>
      <c r="X74" s="340">
        <f t="shared" si="25"/>
        <v>24966011.483445078</v>
      </c>
      <c r="Y74" s="340">
        <f t="shared" si="25"/>
        <v>26426477.5402794</v>
      </c>
      <c r="Z74" s="340">
        <f t="shared" si="25"/>
        <v>27901548.257682063</v>
      </c>
      <c r="AA74" s="340">
        <f t="shared" si="25"/>
        <v>29391369.682258755</v>
      </c>
      <c r="AB74" s="341">
        <f t="shared" si="25"/>
        <v>30896089.321081214</v>
      </c>
      <c r="AC74" s="21"/>
      <c r="AD74" s="21"/>
      <c r="AE74" s="21"/>
      <c r="AF74" s="21"/>
    </row>
    <row r="75" spans="1:32 16384:16384" s="154" customFormat="1" ht="15.6" x14ac:dyDescent="0.3">
      <c r="B75" s="79"/>
      <c r="C75" s="100"/>
      <c r="D75" s="343"/>
      <c r="E75" s="344"/>
      <c r="F75" s="344"/>
      <c r="G75" s="344"/>
      <c r="H75" s="344"/>
      <c r="I75" s="344"/>
      <c r="J75" s="344"/>
      <c r="K75" s="344"/>
      <c r="L75" s="344"/>
      <c r="M75" s="344"/>
      <c r="N75" s="344"/>
      <c r="O75" s="344"/>
      <c r="P75" s="344"/>
      <c r="Q75" s="344"/>
      <c r="R75" s="344"/>
      <c r="S75" s="344"/>
      <c r="T75" s="344"/>
      <c r="U75" s="344"/>
      <c r="V75" s="344"/>
      <c r="W75" s="344"/>
      <c r="X75" s="345"/>
      <c r="Y75" s="346"/>
      <c r="Z75" s="346"/>
      <c r="AA75" s="346"/>
      <c r="AB75" s="346"/>
      <c r="AC75" s="158"/>
      <c r="AD75" s="158"/>
      <c r="AE75" s="158"/>
      <c r="AF75" s="158"/>
    </row>
    <row r="76" spans="1:32 16384:16384" outlineLevel="1" x14ac:dyDescent="0.3">
      <c r="B76" s="79"/>
      <c r="C76" s="100"/>
      <c r="D76" s="343"/>
      <c r="E76" s="344"/>
      <c r="F76" s="344"/>
      <c r="G76" s="344"/>
      <c r="H76" s="344"/>
      <c r="I76" s="344"/>
      <c r="J76" s="344"/>
      <c r="K76" s="344"/>
      <c r="L76" s="344"/>
      <c r="M76" s="344"/>
      <c r="N76" s="344"/>
      <c r="O76" s="344"/>
      <c r="P76" s="344"/>
      <c r="Q76" s="344"/>
      <c r="R76" s="344"/>
      <c r="S76" s="344"/>
      <c r="T76" s="344"/>
      <c r="U76" s="344"/>
      <c r="V76" s="344"/>
      <c r="W76" s="344"/>
      <c r="X76" s="345"/>
      <c r="Y76" s="346"/>
      <c r="Z76" s="346"/>
      <c r="AA76" s="346"/>
      <c r="AB76" s="346"/>
      <c r="AC76" s="161"/>
      <c r="AD76" s="162">
        <f>SUM(D76:AC76)</f>
        <v>0</v>
      </c>
      <c r="AE76" s="161"/>
      <c r="AF76" s="161"/>
    </row>
    <row r="77" spans="1:32 16384:16384" s="157" customFormat="1" outlineLevel="1" x14ac:dyDescent="0.3">
      <c r="A77" s="163"/>
      <c r="B77" s="155" t="s">
        <v>159</v>
      </c>
      <c r="C77" s="156"/>
      <c r="D77" s="347"/>
      <c r="E77" s="347"/>
      <c r="F77" s="347"/>
      <c r="G77" s="347"/>
      <c r="H77" s="347"/>
      <c r="I77" s="347"/>
      <c r="J77" s="347"/>
      <c r="K77" s="347"/>
      <c r="L77" s="347"/>
      <c r="M77" s="347"/>
      <c r="N77" s="347"/>
      <c r="O77" s="347"/>
      <c r="P77" s="347"/>
      <c r="Q77" s="347"/>
      <c r="R77" s="347"/>
      <c r="S77" s="348"/>
      <c r="T77" s="348"/>
      <c r="U77" s="348"/>
      <c r="V77" s="348"/>
      <c r="W77" s="348"/>
      <c r="X77" s="349"/>
      <c r="Y77" s="350"/>
      <c r="Z77" s="350"/>
      <c r="AA77" s="350"/>
      <c r="AB77" s="350"/>
      <c r="AC77" s="158"/>
      <c r="AD77" s="162"/>
      <c r="AE77" s="158"/>
      <c r="AF77" s="158"/>
    </row>
    <row r="78" spans="1:32 16384:16384" s="157" customFormat="1" outlineLevel="1" x14ac:dyDescent="0.3">
      <c r="A78" s="163"/>
      <c r="B78" s="159" t="s">
        <v>160</v>
      </c>
      <c r="C78" s="160"/>
      <c r="D78" s="351">
        <f t="shared" ref="D78:AB78" si="26">+D55</f>
        <v>433352</v>
      </c>
      <c r="E78" s="351">
        <f t="shared" si="26"/>
        <v>711799.04</v>
      </c>
      <c r="F78" s="351">
        <f t="shared" si="26"/>
        <v>994003.03040000051</v>
      </c>
      <c r="G78" s="351">
        <f t="shared" si="26"/>
        <v>1234658.8135040002</v>
      </c>
      <c r="H78" s="351">
        <f t="shared" si="26"/>
        <v>1730187.4761910411</v>
      </c>
      <c r="I78" s="351">
        <f t="shared" si="26"/>
        <v>1747919.3509529503</v>
      </c>
      <c r="J78" s="351">
        <f t="shared" si="26"/>
        <v>1765828.5444624797</v>
      </c>
      <c r="K78" s="351">
        <f t="shared" si="26"/>
        <v>1783916.8299071025</v>
      </c>
      <c r="L78" s="351">
        <f t="shared" si="26"/>
        <v>1802185.998206174</v>
      </c>
      <c r="M78" s="351">
        <f t="shared" si="26"/>
        <v>1820637.8581882399</v>
      </c>
      <c r="N78" s="351">
        <f t="shared" si="26"/>
        <v>1462274.2367701195</v>
      </c>
      <c r="O78" s="351">
        <f t="shared" si="26"/>
        <v>1901096.9791378193</v>
      </c>
      <c r="P78" s="351">
        <f t="shared" si="26"/>
        <v>1920107.9489291999</v>
      </c>
      <c r="Q78" s="351">
        <f t="shared" si="26"/>
        <v>1939309.0284184907</v>
      </c>
      <c r="R78" s="351">
        <f t="shared" si="26"/>
        <v>1958702.1187026743</v>
      </c>
      <c r="S78" s="351">
        <f t="shared" si="26"/>
        <v>1978289.1398897022</v>
      </c>
      <c r="T78" s="351">
        <f t="shared" si="26"/>
        <v>1998072.0312885996</v>
      </c>
      <c r="U78" s="351">
        <f t="shared" si="26"/>
        <v>2018052.7516014837</v>
      </c>
      <c r="V78" s="351">
        <f t="shared" si="26"/>
        <v>2038233.2791174967</v>
      </c>
      <c r="W78" s="351">
        <f t="shared" si="26"/>
        <v>2058615.6119086724</v>
      </c>
      <c r="X78" s="351">
        <f t="shared" si="26"/>
        <v>2079201.7680277601</v>
      </c>
      <c r="Y78" s="351">
        <f t="shared" si="26"/>
        <v>2099993.7857080381</v>
      </c>
      <c r="Z78" s="351">
        <f t="shared" si="26"/>
        <v>2120993.7235651184</v>
      </c>
      <c r="AA78" s="351">
        <f t="shared" si="26"/>
        <v>2142203.6608007681</v>
      </c>
      <c r="AB78" s="352">
        <f t="shared" si="26"/>
        <v>2163625.6974087749</v>
      </c>
      <c r="AC78" s="158"/>
      <c r="AD78" s="162"/>
      <c r="AE78" s="158"/>
      <c r="AF78" s="158"/>
    </row>
    <row r="79" spans="1:32 16384:16384" s="157" customFormat="1" outlineLevel="1" x14ac:dyDescent="0.3">
      <c r="A79" s="163"/>
      <c r="B79" s="164" t="s">
        <v>161</v>
      </c>
      <c r="C79" s="165"/>
      <c r="D79" s="353">
        <f t="shared" ref="D79:AB79" si="27">+D78+D54</f>
        <v>476352</v>
      </c>
      <c r="E79" s="353">
        <f t="shared" si="27"/>
        <v>754799.04</v>
      </c>
      <c r="F79" s="353">
        <f t="shared" si="27"/>
        <v>1037003.0304000005</v>
      </c>
      <c r="G79" s="353">
        <f t="shared" si="27"/>
        <v>1277658.8135040002</v>
      </c>
      <c r="H79" s="353">
        <f t="shared" si="27"/>
        <v>1773187.4761910411</v>
      </c>
      <c r="I79" s="353">
        <f t="shared" si="27"/>
        <v>1790919.3509529503</v>
      </c>
      <c r="J79" s="353">
        <f t="shared" si="27"/>
        <v>1808828.5444624797</v>
      </c>
      <c r="K79" s="353">
        <f t="shared" si="27"/>
        <v>1826916.8299071025</v>
      </c>
      <c r="L79" s="353">
        <f t="shared" si="27"/>
        <v>1845185.998206174</v>
      </c>
      <c r="M79" s="353">
        <f t="shared" si="27"/>
        <v>1863637.8581882399</v>
      </c>
      <c r="N79" s="353">
        <f t="shared" si="27"/>
        <v>1882274.2367701195</v>
      </c>
      <c r="O79" s="353">
        <f t="shared" si="27"/>
        <v>1901096.9791378193</v>
      </c>
      <c r="P79" s="353">
        <f t="shared" si="27"/>
        <v>1920107.9489291999</v>
      </c>
      <c r="Q79" s="353">
        <f t="shared" si="27"/>
        <v>1939309.0284184907</v>
      </c>
      <c r="R79" s="353">
        <f t="shared" si="27"/>
        <v>1958702.1187026743</v>
      </c>
      <c r="S79" s="353">
        <f t="shared" si="27"/>
        <v>1978289.1398897022</v>
      </c>
      <c r="T79" s="353">
        <f t="shared" si="27"/>
        <v>1998072.0312885996</v>
      </c>
      <c r="U79" s="353">
        <f t="shared" si="27"/>
        <v>2018052.7516014837</v>
      </c>
      <c r="V79" s="353">
        <f t="shared" si="27"/>
        <v>2038233.2791174967</v>
      </c>
      <c r="W79" s="353">
        <f t="shared" si="27"/>
        <v>2058615.6119086724</v>
      </c>
      <c r="X79" s="353">
        <f t="shared" si="27"/>
        <v>2079201.7680277601</v>
      </c>
      <c r="Y79" s="353">
        <f t="shared" si="27"/>
        <v>2099993.7857080381</v>
      </c>
      <c r="Z79" s="353">
        <f t="shared" si="27"/>
        <v>2120993.7235651184</v>
      </c>
      <c r="AA79" s="353">
        <f t="shared" si="27"/>
        <v>2142203.6608007681</v>
      </c>
      <c r="AB79" s="354">
        <f t="shared" si="27"/>
        <v>2163625.6974087749</v>
      </c>
      <c r="AC79" s="158"/>
      <c r="AD79" s="162"/>
      <c r="AE79" s="158"/>
      <c r="AF79" s="158"/>
    </row>
    <row r="80" spans="1:32 16384:16384" outlineLevel="1" x14ac:dyDescent="0.3">
      <c r="B80" s="166" t="s">
        <v>162</v>
      </c>
      <c r="C80" s="167">
        <v>0.25</v>
      </c>
      <c r="D80" s="355">
        <f>IF(D79&lt;0,0,D79*$C$80)</f>
        <v>119088</v>
      </c>
      <c r="E80" s="355">
        <f>IF(E79&lt;0,0,E79*$C$80)</f>
        <v>188699.76</v>
      </c>
      <c r="F80" s="355">
        <f t="shared" ref="F80:AB80" si="28">IF(F79&lt;0,0,F79*$C$80)</f>
        <v>259250.75760000013</v>
      </c>
      <c r="G80" s="355">
        <f t="shared" si="28"/>
        <v>319414.70337600005</v>
      </c>
      <c r="H80" s="355">
        <f t="shared" si="28"/>
        <v>443296.86904776026</v>
      </c>
      <c r="I80" s="355">
        <f t="shared" si="28"/>
        <v>447729.83773823758</v>
      </c>
      <c r="J80" s="355">
        <f t="shared" si="28"/>
        <v>452207.13611561991</v>
      </c>
      <c r="K80" s="355">
        <f t="shared" si="28"/>
        <v>456729.20747677563</v>
      </c>
      <c r="L80" s="355">
        <f t="shared" si="28"/>
        <v>461296.4995515435</v>
      </c>
      <c r="M80" s="355">
        <f t="shared" si="28"/>
        <v>465909.46454705996</v>
      </c>
      <c r="N80" s="355">
        <f t="shared" si="28"/>
        <v>470568.55919252988</v>
      </c>
      <c r="O80" s="355">
        <f t="shared" si="28"/>
        <v>475274.24478445482</v>
      </c>
      <c r="P80" s="355">
        <f t="shared" si="28"/>
        <v>480026.98723229999</v>
      </c>
      <c r="Q80" s="355">
        <f t="shared" si="28"/>
        <v>484827.25710462267</v>
      </c>
      <c r="R80" s="355">
        <f t="shared" si="28"/>
        <v>489675.52967566857</v>
      </c>
      <c r="S80" s="355">
        <f t="shared" si="28"/>
        <v>494572.28497242555</v>
      </c>
      <c r="T80" s="355">
        <f t="shared" si="28"/>
        <v>499518.0078221499</v>
      </c>
      <c r="U80" s="355">
        <f t="shared" si="28"/>
        <v>504513.18790037092</v>
      </c>
      <c r="V80" s="355">
        <f t="shared" si="28"/>
        <v>509558.31977937417</v>
      </c>
      <c r="W80" s="355">
        <f t="shared" si="28"/>
        <v>514653.90297716809</v>
      </c>
      <c r="X80" s="355">
        <f t="shared" si="28"/>
        <v>519800.44200694002</v>
      </c>
      <c r="Y80" s="355">
        <f t="shared" si="28"/>
        <v>524998.44642700953</v>
      </c>
      <c r="Z80" s="355">
        <f t="shared" si="28"/>
        <v>530248.4308912796</v>
      </c>
      <c r="AA80" s="355">
        <f t="shared" si="28"/>
        <v>535550.91520019202</v>
      </c>
      <c r="AB80" s="356">
        <f t="shared" si="28"/>
        <v>540906.42435219372</v>
      </c>
      <c r="AC80" s="161"/>
      <c r="AD80" s="162">
        <f>SUM(D80:AC80)</f>
        <v>11188315.175771676</v>
      </c>
      <c r="AE80" s="161"/>
      <c r="AF80" s="161"/>
    </row>
    <row r="81" spans="2:32" outlineLevel="1" x14ac:dyDescent="0.3">
      <c r="B81" s="166"/>
      <c r="C81" s="167"/>
      <c r="D81" s="355"/>
      <c r="E81" s="355"/>
      <c r="F81" s="355"/>
      <c r="G81" s="355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/>
      <c r="W81" s="355"/>
      <c r="X81" s="355"/>
      <c r="Y81" s="355"/>
      <c r="Z81" s="355"/>
      <c r="AA81" s="355"/>
      <c r="AB81" s="356"/>
      <c r="AC81" s="161"/>
      <c r="AD81" s="162">
        <f>SUM(D81:AC81)</f>
        <v>0</v>
      </c>
      <c r="AE81" s="161" t="s">
        <v>163</v>
      </c>
      <c r="AF81" s="161"/>
    </row>
    <row r="82" spans="2:32" outlineLevel="1" x14ac:dyDescent="0.3">
      <c r="B82" s="169" t="s">
        <v>164</v>
      </c>
      <c r="C82" s="165"/>
      <c r="D82" s="353">
        <f t="shared" ref="D82:AB82" si="29">-D56</f>
        <v>23500</v>
      </c>
      <c r="E82" s="353">
        <f t="shared" si="29"/>
        <v>19239.787613256172</v>
      </c>
      <c r="F82" s="353">
        <f t="shared" si="29"/>
        <v>14770.257149445009</v>
      </c>
      <c r="G82" s="353">
        <f t="shared" si="29"/>
        <v>10081.090406403942</v>
      </c>
      <c r="H82" s="353">
        <f t="shared" si="29"/>
        <v>5161.4591799298996</v>
      </c>
      <c r="I82" s="353">
        <f t="shared" si="29"/>
        <v>0</v>
      </c>
      <c r="J82" s="353">
        <f t="shared" si="29"/>
        <v>0</v>
      </c>
      <c r="K82" s="353">
        <f t="shared" si="29"/>
        <v>0</v>
      </c>
      <c r="L82" s="353">
        <f t="shared" si="29"/>
        <v>0</v>
      </c>
      <c r="M82" s="353">
        <f t="shared" si="29"/>
        <v>0</v>
      </c>
      <c r="N82" s="353">
        <f t="shared" si="29"/>
        <v>0</v>
      </c>
      <c r="O82" s="353">
        <f t="shared" si="29"/>
        <v>0</v>
      </c>
      <c r="P82" s="353">
        <f t="shared" si="29"/>
        <v>0</v>
      </c>
      <c r="Q82" s="353">
        <f t="shared" si="29"/>
        <v>0</v>
      </c>
      <c r="R82" s="353">
        <f t="shared" si="29"/>
        <v>0</v>
      </c>
      <c r="S82" s="353">
        <f t="shared" si="29"/>
        <v>0</v>
      </c>
      <c r="T82" s="353">
        <f t="shared" si="29"/>
        <v>0</v>
      </c>
      <c r="U82" s="353">
        <f t="shared" si="29"/>
        <v>0</v>
      </c>
      <c r="V82" s="353">
        <f t="shared" si="29"/>
        <v>0</v>
      </c>
      <c r="W82" s="353">
        <f t="shared" si="29"/>
        <v>0</v>
      </c>
      <c r="X82" s="353">
        <f t="shared" si="29"/>
        <v>0</v>
      </c>
      <c r="Y82" s="353">
        <f t="shared" si="29"/>
        <v>0</v>
      </c>
      <c r="Z82" s="353">
        <f t="shared" si="29"/>
        <v>0</v>
      </c>
      <c r="AA82" s="353">
        <f t="shared" si="29"/>
        <v>0</v>
      </c>
      <c r="AB82" s="354">
        <f t="shared" si="29"/>
        <v>0</v>
      </c>
      <c r="AC82" s="161"/>
      <c r="AD82" s="162"/>
      <c r="AE82" s="161"/>
      <c r="AF82" s="161"/>
    </row>
    <row r="83" spans="2:32" outlineLevel="1" x14ac:dyDescent="0.3">
      <c r="B83" s="205" t="s">
        <v>165</v>
      </c>
      <c r="C83" s="165"/>
      <c r="D83" s="353">
        <f>D82</f>
        <v>23500</v>
      </c>
      <c r="E83" s="353">
        <f t="shared" ref="E83:AB83" si="30">+(D83+E82)-E85</f>
        <v>0</v>
      </c>
      <c r="F83" s="353">
        <f t="shared" si="30"/>
        <v>0</v>
      </c>
      <c r="G83" s="353">
        <f t="shared" si="30"/>
        <v>0</v>
      </c>
      <c r="H83" s="353">
        <f t="shared" si="30"/>
        <v>0</v>
      </c>
      <c r="I83" s="353">
        <f t="shared" si="30"/>
        <v>0</v>
      </c>
      <c r="J83" s="353">
        <f t="shared" si="30"/>
        <v>0</v>
      </c>
      <c r="K83" s="353">
        <f t="shared" si="30"/>
        <v>0</v>
      </c>
      <c r="L83" s="353">
        <f t="shared" si="30"/>
        <v>0</v>
      </c>
      <c r="M83" s="353">
        <f t="shared" si="30"/>
        <v>0</v>
      </c>
      <c r="N83" s="353">
        <f t="shared" si="30"/>
        <v>0</v>
      </c>
      <c r="O83" s="353">
        <f t="shared" si="30"/>
        <v>0</v>
      </c>
      <c r="P83" s="353">
        <f t="shared" si="30"/>
        <v>0</v>
      </c>
      <c r="Q83" s="353">
        <f t="shared" si="30"/>
        <v>0</v>
      </c>
      <c r="R83" s="353">
        <f t="shared" si="30"/>
        <v>0</v>
      </c>
      <c r="S83" s="353">
        <f t="shared" si="30"/>
        <v>0</v>
      </c>
      <c r="T83" s="353">
        <f t="shared" si="30"/>
        <v>0</v>
      </c>
      <c r="U83" s="353">
        <f t="shared" si="30"/>
        <v>0</v>
      </c>
      <c r="V83" s="353">
        <f t="shared" si="30"/>
        <v>0</v>
      </c>
      <c r="W83" s="353">
        <f t="shared" si="30"/>
        <v>0</v>
      </c>
      <c r="X83" s="353">
        <f t="shared" si="30"/>
        <v>0</v>
      </c>
      <c r="Y83" s="353">
        <f t="shared" si="30"/>
        <v>0</v>
      </c>
      <c r="Z83" s="353">
        <f t="shared" si="30"/>
        <v>0</v>
      </c>
      <c r="AA83" s="353">
        <f t="shared" si="30"/>
        <v>0</v>
      </c>
      <c r="AB83" s="354">
        <f t="shared" si="30"/>
        <v>0</v>
      </c>
      <c r="AC83" s="161"/>
      <c r="AD83" s="162">
        <f>SUM(D83:AC83)</f>
        <v>23500</v>
      </c>
      <c r="AE83" s="161"/>
      <c r="AF83" s="161"/>
    </row>
    <row r="84" spans="2:32" outlineLevel="1" x14ac:dyDescent="0.3">
      <c r="B84" s="205" t="s">
        <v>166</v>
      </c>
      <c r="C84" s="165"/>
      <c r="D84" s="353">
        <f>D83</f>
        <v>23500</v>
      </c>
      <c r="E84" s="353">
        <f t="shared" ref="E84:M84" si="31">(D83+E82)</f>
        <v>42739.787613256172</v>
      </c>
      <c r="F84" s="353">
        <f t="shared" si="31"/>
        <v>14770.257149445009</v>
      </c>
      <c r="G84" s="353">
        <f t="shared" si="31"/>
        <v>10081.090406403942</v>
      </c>
      <c r="H84" s="353">
        <f t="shared" si="31"/>
        <v>5161.4591799298996</v>
      </c>
      <c r="I84" s="353">
        <f t="shared" si="31"/>
        <v>0</v>
      </c>
      <c r="J84" s="353">
        <f t="shared" si="31"/>
        <v>0</v>
      </c>
      <c r="K84" s="353">
        <f t="shared" si="31"/>
        <v>0</v>
      </c>
      <c r="L84" s="353">
        <f t="shared" si="31"/>
        <v>0</v>
      </c>
      <c r="M84" s="353">
        <f t="shared" si="31"/>
        <v>0</v>
      </c>
      <c r="N84" s="353">
        <f t="shared" ref="N84:AB84" si="32">(M83+N82)</f>
        <v>0</v>
      </c>
      <c r="O84" s="353">
        <f t="shared" si="32"/>
        <v>0</v>
      </c>
      <c r="P84" s="353">
        <f t="shared" si="32"/>
        <v>0</v>
      </c>
      <c r="Q84" s="353">
        <f t="shared" si="32"/>
        <v>0</v>
      </c>
      <c r="R84" s="353">
        <f t="shared" si="32"/>
        <v>0</v>
      </c>
      <c r="S84" s="353">
        <f t="shared" si="32"/>
        <v>0</v>
      </c>
      <c r="T84" s="353">
        <f t="shared" si="32"/>
        <v>0</v>
      </c>
      <c r="U84" s="353">
        <f t="shared" si="32"/>
        <v>0</v>
      </c>
      <c r="V84" s="353">
        <f t="shared" si="32"/>
        <v>0</v>
      </c>
      <c r="W84" s="353">
        <f t="shared" si="32"/>
        <v>0</v>
      </c>
      <c r="X84" s="353">
        <f t="shared" si="32"/>
        <v>0</v>
      </c>
      <c r="Y84" s="353">
        <f t="shared" si="32"/>
        <v>0</v>
      </c>
      <c r="Z84" s="353">
        <f t="shared" si="32"/>
        <v>0</v>
      </c>
      <c r="AA84" s="353">
        <f t="shared" si="32"/>
        <v>0</v>
      </c>
      <c r="AB84" s="354">
        <f t="shared" si="32"/>
        <v>0</v>
      </c>
      <c r="AC84" s="161"/>
      <c r="AD84" s="162"/>
      <c r="AE84" s="161"/>
      <c r="AF84" s="161"/>
    </row>
    <row r="85" spans="2:32" outlineLevel="1" x14ac:dyDescent="0.3">
      <c r="B85" s="166" t="s">
        <v>167</v>
      </c>
      <c r="C85" s="170"/>
      <c r="D85" s="355">
        <f t="shared" ref="D85:AB85" si="33">IF(D80&lt;0,0,IF(AND(D84&gt;D80),D80,D84))</f>
        <v>23500</v>
      </c>
      <c r="E85" s="355">
        <f t="shared" si="33"/>
        <v>42739.787613256172</v>
      </c>
      <c r="F85" s="355">
        <f t="shared" si="33"/>
        <v>14770.257149445009</v>
      </c>
      <c r="G85" s="355">
        <f t="shared" si="33"/>
        <v>10081.090406403942</v>
      </c>
      <c r="H85" s="355">
        <f t="shared" si="33"/>
        <v>5161.4591799298996</v>
      </c>
      <c r="I85" s="355">
        <f t="shared" si="33"/>
        <v>0</v>
      </c>
      <c r="J85" s="355">
        <f t="shared" si="33"/>
        <v>0</v>
      </c>
      <c r="K85" s="355">
        <f t="shared" si="33"/>
        <v>0</v>
      </c>
      <c r="L85" s="355">
        <f t="shared" si="33"/>
        <v>0</v>
      </c>
      <c r="M85" s="355">
        <f t="shared" si="33"/>
        <v>0</v>
      </c>
      <c r="N85" s="355">
        <f t="shared" si="33"/>
        <v>0</v>
      </c>
      <c r="O85" s="355">
        <f t="shared" si="33"/>
        <v>0</v>
      </c>
      <c r="P85" s="355">
        <f t="shared" si="33"/>
        <v>0</v>
      </c>
      <c r="Q85" s="355">
        <f t="shared" si="33"/>
        <v>0</v>
      </c>
      <c r="R85" s="355">
        <f t="shared" si="33"/>
        <v>0</v>
      </c>
      <c r="S85" s="355">
        <f t="shared" si="33"/>
        <v>0</v>
      </c>
      <c r="T85" s="355">
        <f t="shared" si="33"/>
        <v>0</v>
      </c>
      <c r="U85" s="355">
        <f t="shared" si="33"/>
        <v>0</v>
      </c>
      <c r="V85" s="355">
        <f t="shared" si="33"/>
        <v>0</v>
      </c>
      <c r="W85" s="355">
        <f t="shared" si="33"/>
        <v>0</v>
      </c>
      <c r="X85" s="355">
        <f t="shared" si="33"/>
        <v>0</v>
      </c>
      <c r="Y85" s="355">
        <f t="shared" si="33"/>
        <v>0</v>
      </c>
      <c r="Z85" s="355">
        <f t="shared" si="33"/>
        <v>0</v>
      </c>
      <c r="AA85" s="355">
        <f t="shared" si="33"/>
        <v>0</v>
      </c>
      <c r="AB85" s="356">
        <f t="shared" si="33"/>
        <v>0</v>
      </c>
      <c r="AC85" s="161"/>
      <c r="AD85" s="162">
        <f>SUM(D85:AC85)</f>
        <v>96252.594349035004</v>
      </c>
      <c r="AE85" s="161"/>
      <c r="AF85" s="161"/>
    </row>
    <row r="86" spans="2:32" s="157" customFormat="1" outlineLevel="1" x14ac:dyDescent="0.3">
      <c r="B86" s="169"/>
      <c r="C86" s="170"/>
      <c r="D86" s="355"/>
      <c r="E86" s="355"/>
      <c r="F86" s="355"/>
      <c r="G86" s="355"/>
      <c r="H86" s="355"/>
      <c r="I86" s="355"/>
      <c r="J86" s="353"/>
      <c r="K86" s="353"/>
      <c r="L86" s="353"/>
      <c r="M86" s="353"/>
      <c r="N86" s="353"/>
      <c r="O86" s="353"/>
      <c r="P86" s="353"/>
      <c r="Q86" s="353"/>
      <c r="R86" s="353"/>
      <c r="S86" s="353"/>
      <c r="T86" s="353"/>
      <c r="U86" s="353"/>
      <c r="V86" s="353"/>
      <c r="W86" s="353"/>
      <c r="X86" s="353"/>
      <c r="Y86" s="353"/>
      <c r="Z86" s="353"/>
      <c r="AA86" s="353"/>
      <c r="AB86" s="354"/>
      <c r="AC86" s="158"/>
      <c r="AD86" s="162">
        <f>SUM(D86:AC86)</f>
        <v>0</v>
      </c>
      <c r="AE86" s="158"/>
      <c r="AF86" s="158"/>
    </row>
    <row r="87" spans="2:32" s="157" customFormat="1" outlineLevel="1" x14ac:dyDescent="0.3">
      <c r="B87" s="169" t="s">
        <v>143</v>
      </c>
      <c r="C87" s="168">
        <f>SUM(D87:H87)</f>
        <v>5031247.7657460067</v>
      </c>
      <c r="D87" s="353">
        <f t="shared" ref="D87:AB87" si="34">+D57</f>
        <v>409852</v>
      </c>
      <c r="E87" s="353">
        <f t="shared" si="34"/>
        <v>692559.2523867439</v>
      </c>
      <c r="F87" s="353">
        <f t="shared" si="34"/>
        <v>979232.7732505555</v>
      </c>
      <c r="G87" s="353">
        <f t="shared" si="34"/>
        <v>1224577.7230975963</v>
      </c>
      <c r="H87" s="353">
        <f t="shared" si="34"/>
        <v>1725026.0170111111</v>
      </c>
      <c r="I87" s="353">
        <f t="shared" si="34"/>
        <v>1747919.3509529503</v>
      </c>
      <c r="J87" s="353">
        <f t="shared" si="34"/>
        <v>1765828.5444624797</v>
      </c>
      <c r="K87" s="353">
        <f t="shared" si="34"/>
        <v>1783916.8299071025</v>
      </c>
      <c r="L87" s="353">
        <f t="shared" si="34"/>
        <v>1802185.998206174</v>
      </c>
      <c r="M87" s="353">
        <f t="shared" si="34"/>
        <v>1820637.8581882399</v>
      </c>
      <c r="N87" s="353">
        <f t="shared" si="34"/>
        <v>1462274.2367701195</v>
      </c>
      <c r="O87" s="353">
        <f t="shared" si="34"/>
        <v>1901096.9791378193</v>
      </c>
      <c r="P87" s="353">
        <f t="shared" si="34"/>
        <v>1920107.9489291999</v>
      </c>
      <c r="Q87" s="353">
        <f t="shared" si="34"/>
        <v>1939309.0284184907</v>
      </c>
      <c r="R87" s="353">
        <f t="shared" si="34"/>
        <v>1958702.1187026743</v>
      </c>
      <c r="S87" s="353">
        <f t="shared" si="34"/>
        <v>1978289.1398897022</v>
      </c>
      <c r="T87" s="353">
        <f t="shared" si="34"/>
        <v>1998072.0312885996</v>
      </c>
      <c r="U87" s="353">
        <f t="shared" si="34"/>
        <v>2018052.7516014837</v>
      </c>
      <c r="V87" s="353">
        <f t="shared" si="34"/>
        <v>2038233.2791174967</v>
      </c>
      <c r="W87" s="353">
        <f t="shared" si="34"/>
        <v>2058615.6119086724</v>
      </c>
      <c r="X87" s="353">
        <f t="shared" si="34"/>
        <v>2079201.7680277601</v>
      </c>
      <c r="Y87" s="353">
        <f t="shared" si="34"/>
        <v>2099993.7857080381</v>
      </c>
      <c r="Z87" s="353">
        <f t="shared" si="34"/>
        <v>2120993.7235651184</v>
      </c>
      <c r="AA87" s="353">
        <f t="shared" si="34"/>
        <v>2142203.6608007681</v>
      </c>
      <c r="AB87" s="354">
        <f t="shared" si="34"/>
        <v>2163625.6974087749</v>
      </c>
      <c r="AC87" s="158"/>
      <c r="AD87" s="162"/>
      <c r="AE87" s="158"/>
      <c r="AF87" s="158"/>
    </row>
    <row r="88" spans="2:32" s="157" customFormat="1" outlineLevel="1" x14ac:dyDescent="0.3">
      <c r="B88" s="166" t="s">
        <v>168</v>
      </c>
      <c r="C88" s="168">
        <f>SUM(D88:H88)</f>
        <v>4862242.5770479366</v>
      </c>
      <c r="D88" s="355">
        <f t="shared" ref="D88:AB88" si="35">+D87-(D82+D85)</f>
        <v>362852</v>
      </c>
      <c r="E88" s="355">
        <f t="shared" si="35"/>
        <v>630579.67716023151</v>
      </c>
      <c r="F88" s="355">
        <f t="shared" si="35"/>
        <v>949692.25895166548</v>
      </c>
      <c r="G88" s="355">
        <f t="shared" si="35"/>
        <v>1204415.5422847883</v>
      </c>
      <c r="H88" s="355">
        <f t="shared" si="35"/>
        <v>1714703.0986512513</v>
      </c>
      <c r="I88" s="355">
        <f t="shared" si="35"/>
        <v>1747919.3509529503</v>
      </c>
      <c r="J88" s="355">
        <f t="shared" si="35"/>
        <v>1765828.5444624797</v>
      </c>
      <c r="K88" s="355">
        <f t="shared" si="35"/>
        <v>1783916.8299071025</v>
      </c>
      <c r="L88" s="355">
        <f t="shared" si="35"/>
        <v>1802185.998206174</v>
      </c>
      <c r="M88" s="355">
        <f t="shared" si="35"/>
        <v>1820637.8581882399</v>
      </c>
      <c r="N88" s="355">
        <f t="shared" si="35"/>
        <v>1462274.2367701195</v>
      </c>
      <c r="O88" s="355">
        <f t="shared" si="35"/>
        <v>1901096.9791378193</v>
      </c>
      <c r="P88" s="355">
        <f t="shared" si="35"/>
        <v>1920107.9489291999</v>
      </c>
      <c r="Q88" s="355">
        <f t="shared" si="35"/>
        <v>1939309.0284184907</v>
      </c>
      <c r="R88" s="355">
        <f t="shared" si="35"/>
        <v>1958702.1187026743</v>
      </c>
      <c r="S88" s="355">
        <f t="shared" si="35"/>
        <v>1978289.1398897022</v>
      </c>
      <c r="T88" s="355">
        <f t="shared" si="35"/>
        <v>1998072.0312885996</v>
      </c>
      <c r="U88" s="355">
        <f t="shared" si="35"/>
        <v>2018052.7516014837</v>
      </c>
      <c r="V88" s="355">
        <f t="shared" si="35"/>
        <v>2038233.2791174967</v>
      </c>
      <c r="W88" s="355">
        <f t="shared" si="35"/>
        <v>2058615.6119086724</v>
      </c>
      <c r="X88" s="355">
        <f t="shared" si="35"/>
        <v>2079201.7680277601</v>
      </c>
      <c r="Y88" s="355">
        <f t="shared" si="35"/>
        <v>2099993.7857080381</v>
      </c>
      <c r="Z88" s="355">
        <f t="shared" si="35"/>
        <v>2120993.7235651184</v>
      </c>
      <c r="AA88" s="355">
        <f t="shared" si="35"/>
        <v>2142203.6608007681</v>
      </c>
      <c r="AB88" s="356">
        <f t="shared" si="35"/>
        <v>2163625.6974087749</v>
      </c>
      <c r="AC88" s="158"/>
      <c r="AD88" s="162"/>
      <c r="AE88" s="158"/>
      <c r="AF88" s="158"/>
    </row>
    <row r="89" spans="2:32" outlineLevel="1" x14ac:dyDescent="0.3">
      <c r="B89" s="166" t="s">
        <v>0</v>
      </c>
      <c r="C89" s="168">
        <f>+C88-C87</f>
        <v>-169005.18869807012</v>
      </c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5"/>
      <c r="V89" s="355"/>
      <c r="W89" s="355"/>
      <c r="X89" s="355"/>
      <c r="Y89" s="355"/>
      <c r="Z89" s="355"/>
      <c r="AA89" s="355"/>
      <c r="AB89" s="356"/>
      <c r="AC89" s="161"/>
      <c r="AD89" s="172">
        <f>SUM(D89:AC89)</f>
        <v>0</v>
      </c>
      <c r="AE89" s="161" t="s">
        <v>169</v>
      </c>
      <c r="AF89" s="161"/>
    </row>
    <row r="90" spans="2:32" outlineLevel="1" x14ac:dyDescent="0.3">
      <c r="B90" s="166"/>
      <c r="C90" s="157"/>
      <c r="D90" s="355"/>
      <c r="E90" s="355"/>
      <c r="F90" s="355"/>
      <c r="G90" s="355"/>
      <c r="H90" s="355"/>
      <c r="I90" s="355"/>
      <c r="J90" s="355"/>
      <c r="K90" s="355"/>
      <c r="L90" s="355"/>
      <c r="M90" s="355"/>
      <c r="N90" s="355"/>
      <c r="O90" s="355"/>
      <c r="P90" s="355"/>
      <c r="Q90" s="355"/>
      <c r="R90" s="355"/>
      <c r="S90" s="355"/>
      <c r="T90" s="355"/>
      <c r="U90" s="355"/>
      <c r="V90" s="355"/>
      <c r="W90" s="355"/>
      <c r="X90" s="355"/>
      <c r="Y90" s="355"/>
      <c r="Z90" s="355"/>
      <c r="AA90" s="355"/>
      <c r="AB90" s="356"/>
      <c r="AC90" s="161"/>
      <c r="AD90" s="172"/>
      <c r="AE90" s="161"/>
      <c r="AF90" s="161"/>
    </row>
    <row r="91" spans="2:32" s="174" customFormat="1" outlineLevel="1" x14ac:dyDescent="0.3">
      <c r="B91" s="171" t="s">
        <v>170</v>
      </c>
      <c r="C91" s="170"/>
      <c r="D91" s="357">
        <f>+D93+D94</f>
        <v>109633</v>
      </c>
      <c r="E91" s="357">
        <f t="shared" ref="E91:AB91" si="36">+E93+E94</f>
        <v>195863.31929005787</v>
      </c>
      <c r="F91" s="357">
        <f>+F93+F94</f>
        <v>294943.64873791637</v>
      </c>
      <c r="G91" s="357">
        <f t="shared" si="36"/>
        <v>378119.67541119712</v>
      </c>
      <c r="H91" s="357">
        <f t="shared" si="36"/>
        <v>525381.72240121278</v>
      </c>
      <c r="I91" s="357">
        <f t="shared" si="36"/>
        <v>534652.84495402162</v>
      </c>
      <c r="J91" s="357">
        <f t="shared" si="36"/>
        <v>540106.87340356177</v>
      </c>
      <c r="K91" s="357">
        <f t="shared" si="36"/>
        <v>545615.4421375969</v>
      </c>
      <c r="L91" s="357">
        <f t="shared" si="36"/>
        <v>551179.09655897296</v>
      </c>
      <c r="M91" s="357">
        <f t="shared" si="36"/>
        <v>556798.3875245637</v>
      </c>
      <c r="N91" s="357">
        <f t="shared" si="36"/>
        <v>468223.87139980868</v>
      </c>
      <c r="O91" s="357">
        <f t="shared" si="36"/>
        <v>578956.11011380644</v>
      </c>
      <c r="P91" s="357">
        <f t="shared" si="36"/>
        <v>584745.67121494515</v>
      </c>
      <c r="Q91" s="357">
        <f t="shared" si="36"/>
        <v>590593.12792709423</v>
      </c>
      <c r="R91" s="357">
        <f t="shared" si="36"/>
        <v>596499.05920636491</v>
      </c>
      <c r="S91" s="357">
        <f t="shared" si="36"/>
        <v>602464.04979842878</v>
      </c>
      <c r="T91" s="357">
        <f t="shared" si="36"/>
        <v>608488.69029641314</v>
      </c>
      <c r="U91" s="357">
        <f t="shared" si="36"/>
        <v>614573.57719937689</v>
      </c>
      <c r="V91" s="357">
        <f t="shared" si="36"/>
        <v>620719.31297137018</v>
      </c>
      <c r="W91" s="357">
        <f t="shared" si="36"/>
        <v>626926.50610108406</v>
      </c>
      <c r="X91" s="357">
        <f t="shared" si="36"/>
        <v>633195.77116209513</v>
      </c>
      <c r="Y91" s="357">
        <f t="shared" si="36"/>
        <v>639527.7288737162</v>
      </c>
      <c r="Z91" s="357">
        <f t="shared" si="36"/>
        <v>645923.00616245333</v>
      </c>
      <c r="AA91" s="357">
        <f t="shared" si="36"/>
        <v>652382.23622407753</v>
      </c>
      <c r="AB91" s="358">
        <f t="shared" si="36"/>
        <v>658906.05858631805</v>
      </c>
      <c r="AC91" s="161"/>
      <c r="AD91" s="162">
        <f>SUM(D91:AC91)</f>
        <v>13354418.787656456</v>
      </c>
      <c r="AE91" s="161"/>
      <c r="AF91" s="161"/>
    </row>
    <row r="92" spans="2:32" outlineLevel="1" x14ac:dyDescent="0.3">
      <c r="B92" s="171" t="s">
        <v>171</v>
      </c>
      <c r="C92" s="170"/>
      <c r="D92" s="359">
        <f>+D91/D88</f>
        <v>0.302142471310617</v>
      </c>
      <c r="E92" s="359">
        <f>+E91/E88</f>
        <v>0.31060835986994334</v>
      </c>
      <c r="F92" s="359">
        <f>+F91/F88</f>
        <v>0.31056760330287952</v>
      </c>
      <c r="G92" s="359">
        <f>+G91/G88</f>
        <v>0.31394453337417111</v>
      </c>
      <c r="H92" s="359">
        <f t="shared" ref="H92:AB92" si="37">+H91/H88</f>
        <v>0.30639807137134517</v>
      </c>
      <c r="I92" s="359">
        <f t="shared" si="37"/>
        <v>0.30587958458296921</v>
      </c>
      <c r="J92" s="359">
        <f t="shared" si="37"/>
        <v>0.30586597724750847</v>
      </c>
      <c r="K92" s="359">
        <f t="shared" si="37"/>
        <v>0.3058525111655625</v>
      </c>
      <c r="L92" s="359">
        <f t="shared" si="37"/>
        <v>0.30583918480533934</v>
      </c>
      <c r="M92" s="359">
        <f t="shared" si="37"/>
        <v>0.3058259966529791</v>
      </c>
      <c r="N92" s="359">
        <f t="shared" si="37"/>
        <v>0.32020250348800816</v>
      </c>
      <c r="O92" s="359">
        <f t="shared" si="37"/>
        <v>0.30453791493392052</v>
      </c>
      <c r="P92" s="359">
        <f t="shared" si="37"/>
        <v>0.30453791493392046</v>
      </c>
      <c r="Q92" s="359">
        <f t="shared" si="37"/>
        <v>0.30453791493392046</v>
      </c>
      <c r="R92" s="359">
        <f t="shared" si="37"/>
        <v>0.30453791493392052</v>
      </c>
      <c r="S92" s="359">
        <f t="shared" si="37"/>
        <v>0.30453791493392046</v>
      </c>
      <c r="T92" s="359">
        <f t="shared" si="37"/>
        <v>0.30453791493392041</v>
      </c>
      <c r="U92" s="359">
        <f t="shared" si="37"/>
        <v>0.30453791493392052</v>
      </c>
      <c r="V92" s="359">
        <f t="shared" si="37"/>
        <v>0.30453791493392057</v>
      </c>
      <c r="W92" s="359">
        <f t="shared" si="37"/>
        <v>0.30453791493392052</v>
      </c>
      <c r="X92" s="359">
        <f t="shared" si="37"/>
        <v>0.30453791493392052</v>
      </c>
      <c r="Y92" s="359">
        <f t="shared" si="37"/>
        <v>0.30453791493392052</v>
      </c>
      <c r="Z92" s="359">
        <f t="shared" si="37"/>
        <v>0.30453791493392052</v>
      </c>
      <c r="AA92" s="359">
        <f t="shared" si="37"/>
        <v>0.30453791493392057</v>
      </c>
      <c r="AB92" s="360">
        <f t="shared" si="37"/>
        <v>0.30453791493392057</v>
      </c>
      <c r="AD92" s="162">
        <f>SUM(D92:AC92)</f>
        <v>7.6566576062462097</v>
      </c>
    </row>
    <row r="93" spans="2:32" outlineLevel="1" x14ac:dyDescent="0.3">
      <c r="B93" s="173" t="s">
        <v>172</v>
      </c>
      <c r="C93" s="237">
        <v>0.23</v>
      </c>
      <c r="D93" s="353">
        <f t="shared" ref="D93:AB93" si="38">+IF(-D100&lt;0,"0",D88*$C$93)</f>
        <v>83455.960000000006</v>
      </c>
      <c r="E93" s="353">
        <f t="shared" si="38"/>
        <v>145033.32574685325</v>
      </c>
      <c r="F93" s="353">
        <f t="shared" si="38"/>
        <v>218429.21955888308</v>
      </c>
      <c r="G93" s="353">
        <f t="shared" si="38"/>
        <v>277015.57472550136</v>
      </c>
      <c r="H93" s="353">
        <f t="shared" si="38"/>
        <v>394381.71268978779</v>
      </c>
      <c r="I93" s="353">
        <f t="shared" si="38"/>
        <v>402021.4507191786</v>
      </c>
      <c r="J93" s="353">
        <f t="shared" si="38"/>
        <v>406140.56522637035</v>
      </c>
      <c r="K93" s="353">
        <f t="shared" si="38"/>
        <v>410300.87087863358</v>
      </c>
      <c r="L93" s="353">
        <f t="shared" si="38"/>
        <v>414502.77958742005</v>
      </c>
      <c r="M93" s="353">
        <f t="shared" si="38"/>
        <v>418746.70738329517</v>
      </c>
      <c r="N93" s="353">
        <f t="shared" si="38"/>
        <v>336323.07445712748</v>
      </c>
      <c r="O93" s="353">
        <f t="shared" si="38"/>
        <v>437252.30520169844</v>
      </c>
      <c r="P93" s="353">
        <f t="shared" si="38"/>
        <v>441624.828253716</v>
      </c>
      <c r="Q93" s="353">
        <f t="shared" si="38"/>
        <v>446041.07653625286</v>
      </c>
      <c r="R93" s="353">
        <f t="shared" si="38"/>
        <v>450501.48730161513</v>
      </c>
      <c r="S93" s="353">
        <f t="shared" si="38"/>
        <v>455006.50217463152</v>
      </c>
      <c r="T93" s="353">
        <f t="shared" si="38"/>
        <v>459556.5671963779</v>
      </c>
      <c r="U93" s="353">
        <f t="shared" si="38"/>
        <v>464152.13286834129</v>
      </c>
      <c r="V93" s="353">
        <f t="shared" si="38"/>
        <v>468793.65419702424</v>
      </c>
      <c r="W93" s="353">
        <f t="shared" si="38"/>
        <v>473481.59073899465</v>
      </c>
      <c r="X93" s="353">
        <f t="shared" si="38"/>
        <v>478216.40664638486</v>
      </c>
      <c r="Y93" s="353">
        <f t="shared" si="38"/>
        <v>482998.5707128488</v>
      </c>
      <c r="Z93" s="353">
        <f t="shared" si="38"/>
        <v>487828.55641997728</v>
      </c>
      <c r="AA93" s="353">
        <f t="shared" si="38"/>
        <v>492706.84198417666</v>
      </c>
      <c r="AB93" s="354">
        <f t="shared" si="38"/>
        <v>497633.91040401824</v>
      </c>
    </row>
    <row r="94" spans="2:32" outlineLevel="1" x14ac:dyDescent="0.3">
      <c r="B94" s="169" t="s">
        <v>173</v>
      </c>
      <c r="C94" s="237">
        <v>0.02</v>
      </c>
      <c r="D94" s="353">
        <f t="shared" ref="D94:AB94" si="39">IF(D88&lt;0,D43*$C$94,(D88+D43)*$C$94)</f>
        <v>26177.040000000001</v>
      </c>
      <c r="E94" s="353">
        <f t="shared" si="39"/>
        <v>50829.993543204626</v>
      </c>
      <c r="F94" s="353">
        <f t="shared" si="39"/>
        <v>76514.429179033308</v>
      </c>
      <c r="G94" s="353">
        <f t="shared" si="39"/>
        <v>101104.10068569577</v>
      </c>
      <c r="H94" s="353">
        <f t="shared" si="39"/>
        <v>131000.00971142501</v>
      </c>
      <c r="I94" s="353">
        <f t="shared" si="39"/>
        <v>132631.394234843</v>
      </c>
      <c r="J94" s="353">
        <f t="shared" si="39"/>
        <v>133966.30817719144</v>
      </c>
      <c r="K94" s="353">
        <f t="shared" si="39"/>
        <v>135314.57125896332</v>
      </c>
      <c r="L94" s="353">
        <f t="shared" si="39"/>
        <v>136676.31697155297</v>
      </c>
      <c r="M94" s="353">
        <f t="shared" si="39"/>
        <v>138051.68014126856</v>
      </c>
      <c r="N94" s="353">
        <f t="shared" si="39"/>
        <v>131900.79694268119</v>
      </c>
      <c r="O94" s="353">
        <f t="shared" si="39"/>
        <v>141703.80491210797</v>
      </c>
      <c r="P94" s="353">
        <f t="shared" si="39"/>
        <v>143120.84296122912</v>
      </c>
      <c r="Q94" s="353">
        <f t="shared" si="39"/>
        <v>144552.05139084137</v>
      </c>
      <c r="R94" s="353">
        <f t="shared" si="39"/>
        <v>145997.57190474978</v>
      </c>
      <c r="S94" s="353">
        <f t="shared" si="39"/>
        <v>147457.54762379729</v>
      </c>
      <c r="T94" s="353">
        <f t="shared" si="39"/>
        <v>148932.1231000353</v>
      </c>
      <c r="U94" s="353">
        <f t="shared" si="39"/>
        <v>150421.4443310356</v>
      </c>
      <c r="V94" s="353">
        <f t="shared" si="39"/>
        <v>151925.65877434591</v>
      </c>
      <c r="W94" s="353">
        <f t="shared" si="39"/>
        <v>153444.91536208938</v>
      </c>
      <c r="X94" s="353">
        <f t="shared" si="39"/>
        <v>154979.3645157103</v>
      </c>
      <c r="Y94" s="353">
        <f t="shared" si="39"/>
        <v>156529.1581608674</v>
      </c>
      <c r="Z94" s="353">
        <f t="shared" si="39"/>
        <v>158094.44974247608</v>
      </c>
      <c r="AA94" s="353">
        <f t="shared" si="39"/>
        <v>159675.39423990084</v>
      </c>
      <c r="AB94" s="354">
        <f t="shared" si="39"/>
        <v>161272.1481822998</v>
      </c>
    </row>
    <row r="95" spans="2:32" s="174" customFormat="1" outlineLevel="1" x14ac:dyDescent="0.3">
      <c r="B95" s="206" t="s">
        <v>174</v>
      </c>
      <c r="C95" s="165"/>
      <c r="D95" s="353" t="s">
        <v>0</v>
      </c>
      <c r="E95" s="353" t="s">
        <v>0</v>
      </c>
      <c r="F95" s="353" t="s">
        <v>0</v>
      </c>
      <c r="G95" s="353" t="s">
        <v>0</v>
      </c>
      <c r="H95" s="353" t="s">
        <v>0</v>
      </c>
      <c r="I95" s="353" t="s">
        <v>0</v>
      </c>
      <c r="J95" s="353" t="s">
        <v>0</v>
      </c>
      <c r="K95" s="353" t="s">
        <v>0</v>
      </c>
      <c r="L95" s="353" t="s">
        <v>0</v>
      </c>
      <c r="M95" s="353"/>
      <c r="N95" s="353"/>
      <c r="O95" s="353"/>
      <c r="P95" s="353"/>
      <c r="Q95" s="353"/>
      <c r="R95" s="353"/>
      <c r="S95" s="353"/>
      <c r="T95" s="353"/>
      <c r="U95" s="353"/>
      <c r="V95" s="353"/>
      <c r="W95" s="353"/>
      <c r="X95" s="353"/>
      <c r="Y95" s="353"/>
      <c r="Z95" s="353"/>
      <c r="AA95" s="353"/>
      <c r="AB95" s="354"/>
      <c r="AC95" s="1"/>
      <c r="AD95" s="1"/>
      <c r="AE95" s="1"/>
      <c r="AF95" s="1"/>
    </row>
    <row r="96" spans="2:32" outlineLevel="1" x14ac:dyDescent="0.3">
      <c r="B96" s="207" t="s">
        <v>175</v>
      </c>
      <c r="C96" s="165"/>
      <c r="D96" s="353">
        <f>+C100</f>
        <v>0</v>
      </c>
      <c r="E96" s="353">
        <f t="shared" ref="E96:K96" si="40">+D100</f>
        <v>0</v>
      </c>
      <c r="F96" s="353">
        <f t="shared" si="40"/>
        <v>0</v>
      </c>
      <c r="G96" s="353">
        <f t="shared" si="40"/>
        <v>0</v>
      </c>
      <c r="H96" s="353">
        <f t="shared" si="40"/>
        <v>0</v>
      </c>
      <c r="I96" s="353">
        <f t="shared" si="40"/>
        <v>0</v>
      </c>
      <c r="J96" s="353">
        <f t="shared" si="40"/>
        <v>0</v>
      </c>
      <c r="K96" s="353">
        <f t="shared" si="40"/>
        <v>0</v>
      </c>
      <c r="L96" s="353">
        <f t="shared" ref="L96:AB96" si="41">+K100</f>
        <v>0</v>
      </c>
      <c r="M96" s="353">
        <f t="shared" si="41"/>
        <v>0</v>
      </c>
      <c r="N96" s="353">
        <f t="shared" si="41"/>
        <v>0</v>
      </c>
      <c r="O96" s="353">
        <f t="shared" si="41"/>
        <v>0</v>
      </c>
      <c r="P96" s="353">
        <f t="shared" si="41"/>
        <v>0</v>
      </c>
      <c r="Q96" s="353">
        <f t="shared" si="41"/>
        <v>0</v>
      </c>
      <c r="R96" s="353">
        <f t="shared" si="41"/>
        <v>0</v>
      </c>
      <c r="S96" s="353">
        <f t="shared" si="41"/>
        <v>0</v>
      </c>
      <c r="T96" s="353">
        <f t="shared" si="41"/>
        <v>0</v>
      </c>
      <c r="U96" s="353">
        <f t="shared" si="41"/>
        <v>0</v>
      </c>
      <c r="V96" s="353">
        <f t="shared" si="41"/>
        <v>0</v>
      </c>
      <c r="W96" s="353">
        <f t="shared" si="41"/>
        <v>0</v>
      </c>
      <c r="X96" s="353">
        <f t="shared" si="41"/>
        <v>0</v>
      </c>
      <c r="Y96" s="353">
        <f t="shared" si="41"/>
        <v>0</v>
      </c>
      <c r="Z96" s="353">
        <f t="shared" si="41"/>
        <v>0</v>
      </c>
      <c r="AA96" s="353">
        <f t="shared" si="41"/>
        <v>0</v>
      </c>
      <c r="AB96" s="354">
        <f t="shared" si="41"/>
        <v>0</v>
      </c>
    </row>
    <row r="97" spans="2:32" s="21" customFormat="1" outlineLevel="1" x14ac:dyDescent="0.3">
      <c r="B97" s="208" t="s">
        <v>176</v>
      </c>
      <c r="C97" s="176"/>
      <c r="D97" s="361">
        <f t="shared" ref="D97:AB97" si="42">IF(D87&lt;0,ABS(D87),0)</f>
        <v>0</v>
      </c>
      <c r="E97" s="361">
        <f t="shared" si="42"/>
        <v>0</v>
      </c>
      <c r="F97" s="361">
        <f t="shared" si="42"/>
        <v>0</v>
      </c>
      <c r="G97" s="361">
        <f t="shared" si="42"/>
        <v>0</v>
      </c>
      <c r="H97" s="361">
        <f t="shared" si="42"/>
        <v>0</v>
      </c>
      <c r="I97" s="361">
        <f t="shared" si="42"/>
        <v>0</v>
      </c>
      <c r="J97" s="361">
        <f t="shared" si="42"/>
        <v>0</v>
      </c>
      <c r="K97" s="361">
        <f t="shared" si="42"/>
        <v>0</v>
      </c>
      <c r="L97" s="361">
        <f t="shared" si="42"/>
        <v>0</v>
      </c>
      <c r="M97" s="361">
        <f t="shared" si="42"/>
        <v>0</v>
      </c>
      <c r="N97" s="361">
        <f t="shared" si="42"/>
        <v>0</v>
      </c>
      <c r="O97" s="361">
        <f t="shared" si="42"/>
        <v>0</v>
      </c>
      <c r="P97" s="361">
        <f t="shared" si="42"/>
        <v>0</v>
      </c>
      <c r="Q97" s="361">
        <f t="shared" si="42"/>
        <v>0</v>
      </c>
      <c r="R97" s="361">
        <f t="shared" si="42"/>
        <v>0</v>
      </c>
      <c r="S97" s="361">
        <f t="shared" si="42"/>
        <v>0</v>
      </c>
      <c r="T97" s="361">
        <f t="shared" si="42"/>
        <v>0</v>
      </c>
      <c r="U97" s="361">
        <f t="shared" si="42"/>
        <v>0</v>
      </c>
      <c r="V97" s="361">
        <f t="shared" si="42"/>
        <v>0</v>
      </c>
      <c r="W97" s="361">
        <f t="shared" si="42"/>
        <v>0</v>
      </c>
      <c r="X97" s="361">
        <f t="shared" si="42"/>
        <v>0</v>
      </c>
      <c r="Y97" s="361">
        <f t="shared" si="42"/>
        <v>0</v>
      </c>
      <c r="Z97" s="361">
        <f t="shared" si="42"/>
        <v>0</v>
      </c>
      <c r="AA97" s="361">
        <f t="shared" si="42"/>
        <v>0</v>
      </c>
      <c r="AB97" s="362">
        <f t="shared" si="42"/>
        <v>0</v>
      </c>
      <c r="AC97" s="1"/>
      <c r="AD97" s="1"/>
      <c r="AE97" s="1"/>
      <c r="AF97" s="1"/>
    </row>
    <row r="98" spans="2:32" s="21" customFormat="1" outlineLevel="1" x14ac:dyDescent="0.3">
      <c r="B98" s="169" t="s">
        <v>177</v>
      </c>
      <c r="C98" s="165"/>
      <c r="D98" s="353">
        <f>+D97+D96</f>
        <v>0</v>
      </c>
      <c r="E98" s="353">
        <f t="shared" ref="E98:K98" si="43">+E97+E96</f>
        <v>0</v>
      </c>
      <c r="F98" s="353">
        <f t="shared" si="43"/>
        <v>0</v>
      </c>
      <c r="G98" s="353">
        <f t="shared" si="43"/>
        <v>0</v>
      </c>
      <c r="H98" s="353">
        <f t="shared" si="43"/>
        <v>0</v>
      </c>
      <c r="I98" s="353">
        <f t="shared" si="43"/>
        <v>0</v>
      </c>
      <c r="J98" s="353">
        <f t="shared" si="43"/>
        <v>0</v>
      </c>
      <c r="K98" s="353">
        <f t="shared" si="43"/>
        <v>0</v>
      </c>
      <c r="L98" s="353">
        <f t="shared" ref="L98:AB98" si="44">+L97+L96</f>
        <v>0</v>
      </c>
      <c r="M98" s="353">
        <f t="shared" si="44"/>
        <v>0</v>
      </c>
      <c r="N98" s="353">
        <f t="shared" si="44"/>
        <v>0</v>
      </c>
      <c r="O98" s="353">
        <f t="shared" si="44"/>
        <v>0</v>
      </c>
      <c r="P98" s="353">
        <f t="shared" si="44"/>
        <v>0</v>
      </c>
      <c r="Q98" s="353">
        <f t="shared" si="44"/>
        <v>0</v>
      </c>
      <c r="R98" s="353">
        <f t="shared" si="44"/>
        <v>0</v>
      </c>
      <c r="S98" s="353">
        <f t="shared" si="44"/>
        <v>0</v>
      </c>
      <c r="T98" s="353">
        <f t="shared" si="44"/>
        <v>0</v>
      </c>
      <c r="U98" s="353">
        <f t="shared" si="44"/>
        <v>0</v>
      </c>
      <c r="V98" s="353">
        <f t="shared" si="44"/>
        <v>0</v>
      </c>
      <c r="W98" s="353">
        <f t="shared" si="44"/>
        <v>0</v>
      </c>
      <c r="X98" s="353">
        <f t="shared" si="44"/>
        <v>0</v>
      </c>
      <c r="Y98" s="353">
        <f t="shared" si="44"/>
        <v>0</v>
      </c>
      <c r="Z98" s="353">
        <f t="shared" si="44"/>
        <v>0</v>
      </c>
      <c r="AA98" s="353">
        <f t="shared" si="44"/>
        <v>0</v>
      </c>
      <c r="AB98" s="354">
        <f t="shared" si="44"/>
        <v>0</v>
      </c>
      <c r="AC98" s="1"/>
      <c r="AD98" s="1"/>
      <c r="AE98" s="1"/>
      <c r="AF98" s="1"/>
    </row>
    <row r="99" spans="2:32" s="9" customFormat="1" outlineLevel="1" x14ac:dyDescent="0.3">
      <c r="B99" s="175" t="s">
        <v>178</v>
      </c>
      <c r="C99" s="176"/>
      <c r="D99" s="361">
        <f t="shared" ref="D99:AB99" si="45">IF(D87&gt;0,MIN(D98,D87),0)</f>
        <v>0</v>
      </c>
      <c r="E99" s="361">
        <f t="shared" si="45"/>
        <v>0</v>
      </c>
      <c r="F99" s="361">
        <f t="shared" si="45"/>
        <v>0</v>
      </c>
      <c r="G99" s="361">
        <f t="shared" si="45"/>
        <v>0</v>
      </c>
      <c r="H99" s="361">
        <f t="shared" si="45"/>
        <v>0</v>
      </c>
      <c r="I99" s="361">
        <f t="shared" si="45"/>
        <v>0</v>
      </c>
      <c r="J99" s="361">
        <f t="shared" si="45"/>
        <v>0</v>
      </c>
      <c r="K99" s="361">
        <f t="shared" si="45"/>
        <v>0</v>
      </c>
      <c r="L99" s="361">
        <f t="shared" si="45"/>
        <v>0</v>
      </c>
      <c r="M99" s="361">
        <f t="shared" si="45"/>
        <v>0</v>
      </c>
      <c r="N99" s="361">
        <f t="shared" si="45"/>
        <v>0</v>
      </c>
      <c r="O99" s="361">
        <f t="shared" si="45"/>
        <v>0</v>
      </c>
      <c r="P99" s="361">
        <f t="shared" si="45"/>
        <v>0</v>
      </c>
      <c r="Q99" s="361">
        <f t="shared" si="45"/>
        <v>0</v>
      </c>
      <c r="R99" s="361">
        <f t="shared" si="45"/>
        <v>0</v>
      </c>
      <c r="S99" s="361">
        <f t="shared" si="45"/>
        <v>0</v>
      </c>
      <c r="T99" s="361">
        <f t="shared" si="45"/>
        <v>0</v>
      </c>
      <c r="U99" s="361">
        <f t="shared" si="45"/>
        <v>0</v>
      </c>
      <c r="V99" s="361">
        <f t="shared" si="45"/>
        <v>0</v>
      </c>
      <c r="W99" s="361">
        <f t="shared" si="45"/>
        <v>0</v>
      </c>
      <c r="X99" s="361">
        <f t="shared" si="45"/>
        <v>0</v>
      </c>
      <c r="Y99" s="361">
        <f t="shared" si="45"/>
        <v>0</v>
      </c>
      <c r="Z99" s="361">
        <f t="shared" si="45"/>
        <v>0</v>
      </c>
      <c r="AA99" s="361">
        <f t="shared" si="45"/>
        <v>0</v>
      </c>
      <c r="AB99" s="362">
        <f t="shared" si="45"/>
        <v>0</v>
      </c>
      <c r="AC99" s="1"/>
      <c r="AD99" s="1"/>
      <c r="AE99" s="1"/>
      <c r="AF99" s="1"/>
    </row>
    <row r="100" spans="2:32" s="21" customFormat="1" x14ac:dyDescent="0.3">
      <c r="B100" s="175" t="s">
        <v>179</v>
      </c>
      <c r="C100" s="209"/>
      <c r="D100" s="361">
        <f>+D98-D99</f>
        <v>0</v>
      </c>
      <c r="E100" s="361">
        <f t="shared" ref="E100:K100" si="46">+E98-E99</f>
        <v>0</v>
      </c>
      <c r="F100" s="361">
        <f t="shared" si="46"/>
        <v>0</v>
      </c>
      <c r="G100" s="361">
        <f t="shared" si="46"/>
        <v>0</v>
      </c>
      <c r="H100" s="361">
        <f t="shared" si="46"/>
        <v>0</v>
      </c>
      <c r="I100" s="361">
        <f t="shared" si="46"/>
        <v>0</v>
      </c>
      <c r="J100" s="361">
        <f t="shared" si="46"/>
        <v>0</v>
      </c>
      <c r="K100" s="361">
        <f t="shared" si="46"/>
        <v>0</v>
      </c>
      <c r="L100" s="361">
        <f t="shared" ref="L100:AB100" si="47">+L98-L99</f>
        <v>0</v>
      </c>
      <c r="M100" s="361">
        <f t="shared" si="47"/>
        <v>0</v>
      </c>
      <c r="N100" s="361">
        <f t="shared" si="47"/>
        <v>0</v>
      </c>
      <c r="O100" s="361">
        <f t="shared" si="47"/>
        <v>0</v>
      </c>
      <c r="P100" s="361">
        <f t="shared" si="47"/>
        <v>0</v>
      </c>
      <c r="Q100" s="361">
        <f t="shared" si="47"/>
        <v>0</v>
      </c>
      <c r="R100" s="361">
        <f t="shared" si="47"/>
        <v>0</v>
      </c>
      <c r="S100" s="361">
        <f t="shared" si="47"/>
        <v>0</v>
      </c>
      <c r="T100" s="361">
        <f t="shared" si="47"/>
        <v>0</v>
      </c>
      <c r="U100" s="361">
        <f t="shared" si="47"/>
        <v>0</v>
      </c>
      <c r="V100" s="361">
        <f t="shared" si="47"/>
        <v>0</v>
      </c>
      <c r="W100" s="361">
        <f t="shared" si="47"/>
        <v>0</v>
      </c>
      <c r="X100" s="361">
        <f t="shared" si="47"/>
        <v>0</v>
      </c>
      <c r="Y100" s="361">
        <f t="shared" si="47"/>
        <v>0</v>
      </c>
      <c r="Z100" s="361">
        <f t="shared" si="47"/>
        <v>0</v>
      </c>
      <c r="AA100" s="361">
        <f t="shared" si="47"/>
        <v>0</v>
      </c>
      <c r="AB100" s="362">
        <f t="shared" si="47"/>
        <v>0</v>
      </c>
      <c r="AC100" s="1"/>
      <c r="AD100" s="1"/>
      <c r="AE100" s="1"/>
      <c r="AF100" s="1"/>
    </row>
    <row r="101" spans="2:32" x14ac:dyDescent="0.3">
      <c r="B101" s="81"/>
      <c r="C101" s="2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4"/>
      <c r="T101" s="364"/>
      <c r="U101" s="365"/>
      <c r="V101" s="365"/>
      <c r="W101" s="365"/>
      <c r="X101" s="366"/>
      <c r="Y101" s="345"/>
      <c r="Z101" s="345"/>
      <c r="AA101" s="345"/>
      <c r="AB101" s="345"/>
    </row>
    <row r="102" spans="2:32" x14ac:dyDescent="0.3">
      <c r="B102" s="80"/>
      <c r="C102" s="22"/>
      <c r="D102" s="367"/>
      <c r="E102" s="367"/>
      <c r="F102" s="367"/>
      <c r="G102" s="367"/>
      <c r="H102" s="367"/>
      <c r="I102" s="367"/>
      <c r="J102" s="367"/>
      <c r="K102" s="367"/>
      <c r="L102" s="367"/>
      <c r="M102" s="367"/>
      <c r="N102" s="367"/>
      <c r="O102" s="367"/>
      <c r="P102" s="367"/>
      <c r="Q102" s="367"/>
      <c r="R102" s="367"/>
      <c r="S102" s="344"/>
      <c r="T102" s="344"/>
      <c r="U102" s="368"/>
      <c r="V102" s="368"/>
      <c r="W102" s="368"/>
      <c r="X102" s="346"/>
      <c r="Y102" s="345"/>
      <c r="Z102" s="345"/>
      <c r="AA102" s="345"/>
      <c r="AB102" s="345"/>
    </row>
    <row r="103" spans="2:32" x14ac:dyDescent="0.3">
      <c r="B103" s="79"/>
      <c r="C103" s="1"/>
      <c r="D103" s="344"/>
      <c r="E103" s="344"/>
      <c r="F103" s="344"/>
      <c r="G103" s="344"/>
      <c r="H103" s="344"/>
      <c r="I103" s="344"/>
      <c r="J103" s="344"/>
      <c r="K103" s="344"/>
      <c r="L103" s="344"/>
      <c r="M103" s="344"/>
      <c r="N103" s="344"/>
      <c r="O103" s="344"/>
      <c r="P103" s="344"/>
      <c r="Q103" s="344"/>
      <c r="R103" s="344"/>
      <c r="S103" s="344"/>
      <c r="T103" s="344"/>
      <c r="U103" s="344"/>
      <c r="V103" s="344"/>
      <c r="W103" s="344"/>
      <c r="X103" s="345"/>
      <c r="Y103" s="345"/>
      <c r="Z103" s="345"/>
      <c r="AA103" s="345"/>
      <c r="AB103" s="345"/>
    </row>
    <row r="104" spans="2:32" x14ac:dyDescent="0.3">
      <c r="B104" s="79"/>
      <c r="C104" s="1"/>
      <c r="D104" s="344"/>
      <c r="E104" s="344"/>
      <c r="F104" s="344"/>
      <c r="G104" s="344"/>
      <c r="H104" s="344"/>
      <c r="I104" s="344"/>
      <c r="J104" s="344"/>
      <c r="K104" s="344"/>
      <c r="L104" s="344"/>
      <c r="M104" s="344"/>
      <c r="N104" s="344"/>
      <c r="O104" s="344"/>
      <c r="P104" s="344"/>
      <c r="Q104" s="344"/>
      <c r="R104" s="344"/>
      <c r="S104" s="344"/>
      <c r="T104" s="344"/>
      <c r="U104" s="344"/>
      <c r="V104" s="344"/>
      <c r="W104" s="344"/>
      <c r="X104" s="345"/>
      <c r="Y104" s="345"/>
      <c r="Z104" s="345"/>
      <c r="AA104" s="345"/>
      <c r="AB104" s="345"/>
    </row>
    <row r="105" spans="2:32" x14ac:dyDescent="0.3">
      <c r="B105" s="79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34"/>
      <c r="Y105" s="34"/>
      <c r="Z105" s="34"/>
      <c r="AA105" s="34"/>
      <c r="AB105" s="34"/>
    </row>
    <row r="106" spans="2:32" x14ac:dyDescent="0.3">
      <c r="B106" s="79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34"/>
      <c r="Y106" s="34"/>
      <c r="Z106" s="34"/>
      <c r="AA106" s="34"/>
      <c r="AB106" s="34"/>
    </row>
    <row r="107" spans="2:32" x14ac:dyDescent="0.3">
      <c r="B107" s="79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34"/>
      <c r="Y107" s="34"/>
      <c r="Z107" s="34"/>
      <c r="AA107" s="34"/>
      <c r="AB107" s="34"/>
    </row>
    <row r="108" spans="2:32" x14ac:dyDescent="0.3">
      <c r="B108" s="79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34"/>
      <c r="Y108" s="34"/>
      <c r="Z108" s="34"/>
      <c r="AA108" s="34"/>
      <c r="AB108" s="34"/>
    </row>
    <row r="109" spans="2:32" x14ac:dyDescent="0.3">
      <c r="B109" s="79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34"/>
      <c r="Y109" s="34"/>
      <c r="Z109" s="34"/>
      <c r="AA109" s="34"/>
      <c r="AB109" s="34"/>
    </row>
    <row r="110" spans="2:32" x14ac:dyDescent="0.3">
      <c r="B110" s="79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34"/>
      <c r="Y110" s="34"/>
      <c r="Z110" s="34"/>
      <c r="AA110" s="34"/>
      <c r="AB110" s="34"/>
    </row>
    <row r="111" spans="2:32" x14ac:dyDescent="0.3">
      <c r="B111" s="79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34"/>
      <c r="Y111" s="34"/>
      <c r="Z111" s="34"/>
      <c r="AA111" s="34"/>
      <c r="AB111" s="34"/>
    </row>
    <row r="112" spans="2:32" x14ac:dyDescent="0.3">
      <c r="B112" s="79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34"/>
      <c r="Y112" s="34"/>
      <c r="Z112" s="34"/>
      <c r="AA112" s="34"/>
      <c r="AB112" s="34"/>
    </row>
    <row r="113" spans="2:28" x14ac:dyDescent="0.3">
      <c r="B113" s="79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34"/>
      <c r="Y113" s="34"/>
      <c r="Z113" s="34"/>
      <c r="AA113" s="34"/>
      <c r="AB113" s="34"/>
    </row>
    <row r="114" spans="2:28" x14ac:dyDescent="0.3">
      <c r="B114" s="79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34"/>
      <c r="Y114" s="34"/>
      <c r="Z114" s="34"/>
      <c r="AA114" s="34"/>
      <c r="AB114" s="34"/>
    </row>
    <row r="115" spans="2:28" x14ac:dyDescent="0.3">
      <c r="B115" s="79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34"/>
      <c r="Y115" s="34"/>
      <c r="Z115" s="34"/>
      <c r="AA115" s="34"/>
      <c r="AB115" s="34"/>
    </row>
    <row r="116" spans="2:28" x14ac:dyDescent="0.3">
      <c r="B116" s="79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34"/>
      <c r="Y116" s="34"/>
      <c r="Z116" s="34"/>
      <c r="AA116" s="34"/>
      <c r="AB116" s="34"/>
    </row>
    <row r="117" spans="2:28" x14ac:dyDescent="0.3">
      <c r="B117" s="79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2:28" x14ac:dyDescent="0.3">
      <c r="B118" s="79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2:28" x14ac:dyDescent="0.3">
      <c r="B119" s="79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2:28" x14ac:dyDescent="0.3">
      <c r="B120" s="79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2:28" x14ac:dyDescent="0.3">
      <c r="B121" s="79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2:28" x14ac:dyDescent="0.3">
      <c r="B122" s="79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2:28" x14ac:dyDescent="0.3">
      <c r="B123" s="79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2:28" x14ac:dyDescent="0.3">
      <c r="B124" s="79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2:28" x14ac:dyDescent="0.3">
      <c r="B125" s="79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2:28" x14ac:dyDescent="0.3">
      <c r="B126" s="79"/>
      <c r="C126" s="1"/>
      <c r="D126" s="1"/>
      <c r="E126" s="1"/>
      <c r="F126" s="1" t="s">
        <v>0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2:28" x14ac:dyDescent="0.3">
      <c r="B127" s="79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2:28" x14ac:dyDescent="0.3">
      <c r="B128" s="79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2:2" s="1" customFormat="1" x14ac:dyDescent="0.3">
      <c r="B129" s="79"/>
    </row>
    <row r="130" spans="2:2" s="1" customFormat="1" x14ac:dyDescent="0.3">
      <c r="B130" s="79"/>
    </row>
    <row r="131" spans="2:2" s="1" customFormat="1" x14ac:dyDescent="0.3">
      <c r="B131" s="79"/>
    </row>
    <row r="132" spans="2:2" s="1" customFormat="1" x14ac:dyDescent="0.3">
      <c r="B132" s="79"/>
    </row>
    <row r="133" spans="2:2" s="1" customFormat="1" x14ac:dyDescent="0.3">
      <c r="B133" s="79"/>
    </row>
    <row r="134" spans="2:2" s="1" customFormat="1" x14ac:dyDescent="0.3">
      <c r="B134" s="79"/>
    </row>
    <row r="135" spans="2:2" s="1" customFormat="1" x14ac:dyDescent="0.3">
      <c r="B135" s="79"/>
    </row>
    <row r="136" spans="2:2" s="1" customFormat="1" x14ac:dyDescent="0.3">
      <c r="B136" s="79"/>
    </row>
    <row r="137" spans="2:2" s="1" customFormat="1" x14ac:dyDescent="0.3">
      <c r="B137" s="79"/>
    </row>
    <row r="138" spans="2:2" s="1" customFormat="1" x14ac:dyDescent="0.3">
      <c r="B138" s="79"/>
    </row>
    <row r="139" spans="2:2" s="1" customFormat="1" x14ac:dyDescent="0.3">
      <c r="B139" s="79"/>
    </row>
    <row r="140" spans="2:2" s="1" customFormat="1" x14ac:dyDescent="0.3">
      <c r="B140" s="79"/>
    </row>
    <row r="141" spans="2:2" s="1" customFormat="1" x14ac:dyDescent="0.3">
      <c r="B141" s="79"/>
    </row>
    <row r="142" spans="2:2" s="1" customFormat="1" x14ac:dyDescent="0.3">
      <c r="B142" s="79"/>
    </row>
    <row r="143" spans="2:2" s="1" customFormat="1" x14ac:dyDescent="0.3">
      <c r="B143" s="79"/>
    </row>
    <row r="144" spans="2:2" s="1" customFormat="1" x14ac:dyDescent="0.3">
      <c r="B144" s="79"/>
    </row>
    <row r="145" spans="2:2" s="1" customFormat="1" x14ac:dyDescent="0.3">
      <c r="B145" s="79"/>
    </row>
    <row r="146" spans="2:2" s="1" customFormat="1" x14ac:dyDescent="0.3">
      <c r="B146" s="79"/>
    </row>
    <row r="147" spans="2:2" s="1" customFormat="1" x14ac:dyDescent="0.3">
      <c r="B147" s="79"/>
    </row>
    <row r="148" spans="2:2" s="1" customFormat="1" x14ac:dyDescent="0.3">
      <c r="B148" s="79"/>
    </row>
    <row r="149" spans="2:2" s="1" customFormat="1" x14ac:dyDescent="0.3">
      <c r="B149" s="79"/>
    </row>
    <row r="150" spans="2:2" s="1" customFormat="1" x14ac:dyDescent="0.3">
      <c r="B150" s="79"/>
    </row>
    <row r="151" spans="2:2" s="1" customFormat="1" x14ac:dyDescent="0.3">
      <c r="B151" s="79"/>
    </row>
    <row r="152" spans="2:2" s="1" customFormat="1" x14ac:dyDescent="0.3">
      <c r="B152" s="79"/>
    </row>
    <row r="153" spans="2:2" s="1" customFormat="1" x14ac:dyDescent="0.3">
      <c r="B153" s="79"/>
    </row>
    <row r="154" spans="2:2" s="1" customFormat="1" x14ac:dyDescent="0.3">
      <c r="B154" s="79"/>
    </row>
    <row r="155" spans="2:2" s="1" customFormat="1" x14ac:dyDescent="0.3">
      <c r="B155" s="79"/>
    </row>
    <row r="156" spans="2:2" s="1" customFormat="1" x14ac:dyDescent="0.3">
      <c r="B156" s="79"/>
    </row>
    <row r="157" spans="2:2" s="1" customFormat="1" x14ac:dyDescent="0.3">
      <c r="B157" s="79"/>
    </row>
    <row r="158" spans="2:2" s="1" customFormat="1" x14ac:dyDescent="0.3">
      <c r="B158" s="79"/>
    </row>
    <row r="159" spans="2:2" s="1" customFormat="1" x14ac:dyDescent="0.3">
      <c r="B159" s="79"/>
    </row>
    <row r="160" spans="2:2" s="1" customFormat="1" x14ac:dyDescent="0.3">
      <c r="B160" s="79"/>
    </row>
    <row r="161" spans="2:20" s="1" customFormat="1" x14ac:dyDescent="0.3">
      <c r="B161" s="79"/>
    </row>
    <row r="162" spans="2:20" s="1" customFormat="1" x14ac:dyDescent="0.3">
      <c r="B162" s="79"/>
    </row>
    <row r="163" spans="2:20" s="1" customFormat="1" x14ac:dyDescent="0.3">
      <c r="B163" s="79"/>
    </row>
    <row r="164" spans="2:20" s="1" customFormat="1" x14ac:dyDescent="0.3">
      <c r="B164" s="79"/>
    </row>
    <row r="165" spans="2:20" s="1" customFormat="1" x14ac:dyDescent="0.3">
      <c r="B165" s="79"/>
    </row>
    <row r="166" spans="2:20" s="1" customFormat="1" x14ac:dyDescent="0.3">
      <c r="B166" s="79"/>
    </row>
    <row r="167" spans="2:20" s="1" customFormat="1" x14ac:dyDescent="0.3">
      <c r="B167" s="79"/>
    </row>
    <row r="168" spans="2:20" s="1" customFormat="1" x14ac:dyDescent="0.3">
      <c r="B168" s="79"/>
      <c r="T168" s="2"/>
    </row>
    <row r="169" spans="2:20" s="1" customFormat="1" x14ac:dyDescent="0.3">
      <c r="B169" s="79"/>
      <c r="S169" s="2"/>
      <c r="T169" s="2"/>
    </row>
    <row r="170" spans="2:20" s="1" customFormat="1" x14ac:dyDescent="0.3">
      <c r="B170" s="79"/>
      <c r="S170" s="2"/>
      <c r="T170" s="2"/>
    </row>
    <row r="171" spans="2:20" s="1" customFormat="1" x14ac:dyDescent="0.3">
      <c r="B171" s="79"/>
      <c r="S171" s="2"/>
      <c r="T171" s="2"/>
    </row>
    <row r="172" spans="2:20" s="1" customFormat="1" x14ac:dyDescent="0.3">
      <c r="B172" s="79"/>
      <c r="S172" s="2"/>
      <c r="T172" s="2"/>
    </row>
    <row r="173" spans="2:20" s="1" customFormat="1" x14ac:dyDescent="0.3">
      <c r="B173" s="79"/>
      <c r="S173" s="2"/>
      <c r="T173" s="2"/>
    </row>
    <row r="174" spans="2:20" s="1" customFormat="1" x14ac:dyDescent="0.3">
      <c r="B174" s="79"/>
      <c r="S174" s="2"/>
      <c r="T174" s="2"/>
    </row>
    <row r="175" spans="2:20" s="1" customFormat="1" x14ac:dyDescent="0.3">
      <c r="B175" s="79"/>
      <c r="S175" s="2"/>
      <c r="T175" s="2"/>
    </row>
    <row r="176" spans="2:20" s="1" customFormat="1" x14ac:dyDescent="0.3">
      <c r="B176" s="79"/>
      <c r="S176" s="2"/>
      <c r="T176" s="2"/>
    </row>
    <row r="177" spans="2:20" s="1" customFormat="1" x14ac:dyDescent="0.3">
      <c r="B177" s="79"/>
      <c r="S177" s="2"/>
      <c r="T177" s="2"/>
    </row>
    <row r="178" spans="2:20" s="1" customFormat="1" x14ac:dyDescent="0.3">
      <c r="B178" s="79"/>
      <c r="S178" s="2"/>
      <c r="T178" s="2"/>
    </row>
    <row r="179" spans="2:20" s="1" customFormat="1" x14ac:dyDescent="0.3">
      <c r="B179" s="79"/>
      <c r="S179" s="2"/>
      <c r="T179" s="2"/>
    </row>
    <row r="180" spans="2:20" s="1" customFormat="1" x14ac:dyDescent="0.3">
      <c r="B180" s="79"/>
      <c r="S180" s="2"/>
      <c r="T180" s="2"/>
    </row>
    <row r="181" spans="2:20" s="1" customFormat="1" x14ac:dyDescent="0.3">
      <c r="B181" s="79"/>
      <c r="S181" s="2"/>
      <c r="T181" s="2"/>
    </row>
    <row r="182" spans="2:20" s="1" customFormat="1" x14ac:dyDescent="0.3">
      <c r="B182" s="79"/>
      <c r="S182" s="2"/>
      <c r="T182" s="2"/>
    </row>
    <row r="183" spans="2:20" s="1" customFormat="1" x14ac:dyDescent="0.3">
      <c r="B183" s="79"/>
      <c r="S183" s="2"/>
      <c r="T183" s="2"/>
    </row>
    <row r="184" spans="2:20" s="1" customFormat="1" x14ac:dyDescent="0.3">
      <c r="B184" s="79"/>
      <c r="S184" s="2"/>
      <c r="T184" s="2"/>
    </row>
    <row r="185" spans="2:20" s="1" customFormat="1" x14ac:dyDescent="0.3">
      <c r="B185" s="79"/>
      <c r="S185" s="2"/>
      <c r="T185" s="2"/>
    </row>
    <row r="186" spans="2:20" s="1" customFormat="1" x14ac:dyDescent="0.3">
      <c r="B186" s="79"/>
      <c r="S186" s="2"/>
      <c r="T186" s="2"/>
    </row>
    <row r="187" spans="2:20" s="1" customFormat="1" x14ac:dyDescent="0.3">
      <c r="B187" s="79"/>
      <c r="S187" s="2"/>
      <c r="T187" s="2"/>
    </row>
    <row r="188" spans="2:20" s="1" customFormat="1" x14ac:dyDescent="0.3">
      <c r="B188" s="79"/>
      <c r="S188" s="2"/>
      <c r="T188" s="2"/>
    </row>
    <row r="189" spans="2:20" s="1" customFormat="1" x14ac:dyDescent="0.3">
      <c r="B189" s="79"/>
      <c r="S189" s="2"/>
      <c r="T189" s="2"/>
    </row>
    <row r="190" spans="2:20" s="1" customFormat="1" x14ac:dyDescent="0.3">
      <c r="B190" s="79"/>
      <c r="S190" s="2"/>
      <c r="T190" s="2"/>
    </row>
    <row r="191" spans="2:20" s="1" customFormat="1" x14ac:dyDescent="0.3">
      <c r="B191" s="79"/>
      <c r="S191" s="2"/>
      <c r="T191" s="2"/>
    </row>
    <row r="192" spans="2:20" s="1" customFormat="1" x14ac:dyDescent="0.3">
      <c r="B192" s="79"/>
      <c r="S192" s="2"/>
      <c r="T192" s="2"/>
    </row>
    <row r="193" spans="2:23" x14ac:dyDescent="0.3">
      <c r="B193" s="79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U193" s="1"/>
      <c r="V193" s="1"/>
      <c r="W193" s="1"/>
    </row>
    <row r="194" spans="2:23" x14ac:dyDescent="0.3">
      <c r="B194" s="79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U194" s="1"/>
      <c r="V194" s="1"/>
      <c r="W194" s="1"/>
    </row>
    <row r="195" spans="2:23" x14ac:dyDescent="0.3">
      <c r="B195" s="79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U195" s="1"/>
      <c r="V195" s="1"/>
      <c r="W195" s="1"/>
    </row>
    <row r="196" spans="2:23" x14ac:dyDescent="0.3">
      <c r="B196" s="79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U196" s="1"/>
      <c r="V196" s="1"/>
      <c r="W196" s="1"/>
    </row>
    <row r="197" spans="2:23" x14ac:dyDescent="0.3">
      <c r="B197" s="79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U197" s="1"/>
      <c r="V197" s="1"/>
      <c r="W197" s="1"/>
    </row>
    <row r="198" spans="2:23" x14ac:dyDescent="0.3">
      <c r="B198" s="79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U198" s="1"/>
      <c r="V198" s="1"/>
      <c r="W198" s="1"/>
    </row>
    <row r="199" spans="2:23" x14ac:dyDescent="0.3">
      <c r="B199" s="79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U199" s="1"/>
      <c r="V199" s="1"/>
      <c r="W199" s="1"/>
    </row>
    <row r="200" spans="2:23" x14ac:dyDescent="0.3">
      <c r="B200" s="79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U200" s="1"/>
      <c r="V200" s="1"/>
      <c r="W200" s="1"/>
    </row>
    <row r="201" spans="2:23" x14ac:dyDescent="0.3">
      <c r="B201" s="79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U201" s="1"/>
      <c r="V201" s="1"/>
      <c r="W201" s="1"/>
    </row>
    <row r="202" spans="2:23" x14ac:dyDescent="0.3">
      <c r="B202" s="79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U202" s="1"/>
      <c r="V202" s="1"/>
      <c r="W202" s="1"/>
    </row>
    <row r="203" spans="2:23" x14ac:dyDescent="0.3">
      <c r="B203" s="79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U203" s="1"/>
      <c r="V203" s="1"/>
      <c r="W203" s="1"/>
    </row>
    <row r="204" spans="2:23" x14ac:dyDescent="0.3">
      <c r="B204" s="79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U204" s="1"/>
      <c r="V204" s="1"/>
      <c r="W204" s="1"/>
    </row>
    <row r="205" spans="2:23" x14ac:dyDescent="0.3">
      <c r="B205" s="79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U205" s="1"/>
      <c r="V205" s="1"/>
      <c r="W205" s="1"/>
    </row>
    <row r="206" spans="2:23" x14ac:dyDescent="0.3">
      <c r="B206" s="79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U206" s="1"/>
      <c r="V206" s="1"/>
      <c r="W206" s="1"/>
    </row>
    <row r="207" spans="2:23" x14ac:dyDescent="0.3">
      <c r="B207" s="79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2:23" x14ac:dyDescent="0.3">
      <c r="B208" s="79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2:18" x14ac:dyDescent="0.3">
      <c r="B209" s="79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2:18" x14ac:dyDescent="0.3">
      <c r="B210" s="79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2:18" x14ac:dyDescent="0.3">
      <c r="B211" s="79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2:18" x14ac:dyDescent="0.3">
      <c r="B212" s="79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2:18" x14ac:dyDescent="0.3">
      <c r="B213" s="79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2:18" x14ac:dyDescent="0.3">
      <c r="B214" s="79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2:18" x14ac:dyDescent="0.3">
      <c r="B215" s="79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2:18" x14ac:dyDescent="0.3">
      <c r="B216" s="79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2:18" x14ac:dyDescent="0.3">
      <c r="B217" s="79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</sheetData>
  <mergeCells count="4">
    <mergeCell ref="Q2:W2"/>
    <mergeCell ref="P6:P7"/>
    <mergeCell ref="B9:AB9"/>
    <mergeCell ref="C1:J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4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10AB-0083-4D67-B0D9-797E347F863B}">
  <dimension ref="B2:AF21"/>
  <sheetViews>
    <sheetView workbookViewId="0">
      <selection activeCell="C8" sqref="C8"/>
    </sheetView>
  </sheetViews>
  <sheetFormatPr defaultColWidth="11.44140625" defaultRowHeight="14.4" x14ac:dyDescent="0.3"/>
  <cols>
    <col min="1" max="1" width="3.77734375" customWidth="1"/>
    <col min="2" max="2" width="27.77734375" customWidth="1"/>
    <col min="3" max="3" width="18.21875" bestFit="1" customWidth="1"/>
    <col min="4" max="4" width="16.21875" customWidth="1"/>
    <col min="5" max="5" width="18.44140625" customWidth="1"/>
    <col min="6" max="6" width="16.21875" customWidth="1"/>
    <col min="7" max="7" width="13.21875" bestFit="1" customWidth="1"/>
    <col min="8" max="8" width="15.5546875" customWidth="1"/>
    <col min="9" max="9" width="17.77734375" customWidth="1"/>
    <col min="10" max="10" width="16.44140625" customWidth="1"/>
    <col min="11" max="11" width="17.77734375" customWidth="1"/>
    <col min="12" max="12" width="17.44140625" customWidth="1"/>
    <col min="13" max="13" width="15.21875" customWidth="1"/>
    <col min="14" max="14" width="15" customWidth="1"/>
    <col min="15" max="15" width="17.77734375" customWidth="1"/>
    <col min="16" max="16" width="18.44140625" customWidth="1"/>
    <col min="17" max="17" width="18.77734375" customWidth="1"/>
    <col min="18" max="18" width="16.21875" customWidth="1"/>
    <col min="19" max="19" width="17.21875" bestFit="1" customWidth="1"/>
    <col min="20" max="20" width="18.5546875" bestFit="1" customWidth="1"/>
    <col min="21" max="21" width="19.77734375" customWidth="1"/>
    <col min="22" max="36" width="16.21875" customWidth="1"/>
  </cols>
  <sheetData>
    <row r="2" spans="2:32" ht="17.399999999999999" x14ac:dyDescent="0.3">
      <c r="B2" s="552" t="s">
        <v>180</v>
      </c>
      <c r="C2" s="552"/>
      <c r="D2" s="552"/>
      <c r="E2" s="552"/>
      <c r="F2" s="552"/>
      <c r="G2" s="432"/>
      <c r="H2" s="432"/>
    </row>
    <row r="3" spans="2:32" ht="18" thickBot="1" x14ac:dyDescent="0.35">
      <c r="B3" s="410"/>
      <c r="C3" s="410"/>
      <c r="D3" s="410"/>
      <c r="E3" s="410"/>
      <c r="F3" s="410"/>
    </row>
    <row r="4" spans="2:32" s="1" customFormat="1" ht="18.600000000000001" customHeight="1" thickBot="1" x14ac:dyDescent="0.3">
      <c r="B4" s="553" t="s">
        <v>197</v>
      </c>
      <c r="C4" s="554"/>
      <c r="D4" s="554"/>
      <c r="E4" s="554"/>
      <c r="F4" s="555"/>
      <c r="G4" s="411"/>
      <c r="H4" s="411"/>
      <c r="I4" s="411"/>
      <c r="J4" s="2"/>
      <c r="K4" s="2"/>
      <c r="L4" s="2"/>
    </row>
    <row r="5" spans="2:32" s="1" customFormat="1" ht="21.75" customHeight="1" thickBot="1" x14ac:dyDescent="0.35">
      <c r="B5" s="395" t="s">
        <v>0</v>
      </c>
      <c r="C5" s="396" t="s">
        <v>128</v>
      </c>
      <c r="D5" s="395" t="s">
        <v>129</v>
      </c>
      <c r="E5" s="395" t="s">
        <v>181</v>
      </c>
      <c r="F5" s="412" t="s">
        <v>182</v>
      </c>
      <c r="H5" s="58"/>
      <c r="I5" s="62"/>
      <c r="J5" s="33"/>
      <c r="K5" s="2"/>
      <c r="L5" s="2"/>
    </row>
    <row r="6" spans="2:32" s="1" customFormat="1" ht="15" thickBot="1" x14ac:dyDescent="0.35">
      <c r="B6" s="437" t="s">
        <v>183</v>
      </c>
      <c r="C6" s="397">
        <v>0.7</v>
      </c>
      <c r="D6" s="398">
        <v>0.2</v>
      </c>
      <c r="E6" s="399">
        <v>0.1</v>
      </c>
      <c r="F6" s="436"/>
      <c r="H6" s="58"/>
      <c r="I6" s="62"/>
      <c r="J6" s="33"/>
      <c r="K6" s="2"/>
      <c r="L6" s="2"/>
    </row>
    <row r="7" spans="2:32" s="1" customFormat="1" x14ac:dyDescent="0.3">
      <c r="B7" s="433"/>
      <c r="C7" s="401"/>
      <c r="D7" s="402" t="s">
        <v>0</v>
      </c>
      <c r="E7" s="401"/>
      <c r="F7" s="434"/>
      <c r="H7" s="58"/>
      <c r="I7" s="62"/>
      <c r="J7" s="33"/>
      <c r="K7" s="2"/>
      <c r="L7" s="2"/>
    </row>
    <row r="8" spans="2:32" s="1" customFormat="1" x14ac:dyDescent="0.3">
      <c r="B8" s="400" t="s">
        <v>184</v>
      </c>
      <c r="C8" s="475">
        <f>80*22*40</f>
        <v>70400</v>
      </c>
      <c r="D8" s="476">
        <f>40*22*10</f>
        <v>8800</v>
      </c>
      <c r="E8" s="476">
        <f>(C8+D8)*E6</f>
        <v>7920</v>
      </c>
      <c r="F8" s="477">
        <f>SUM(C8:E8)</f>
        <v>87120</v>
      </c>
      <c r="H8" s="58"/>
      <c r="I8" s="62"/>
      <c r="J8" s="33"/>
      <c r="K8" s="2"/>
      <c r="L8" s="2"/>
    </row>
    <row r="9" spans="2:32" s="1" customFormat="1" ht="15.6" customHeight="1" x14ac:dyDescent="0.3">
      <c r="B9" s="435"/>
      <c r="C9" s="478"/>
      <c r="D9" s="479"/>
      <c r="E9" s="479"/>
      <c r="F9" s="480"/>
      <c r="H9" s="58"/>
      <c r="I9" s="62"/>
      <c r="J9" s="33"/>
      <c r="K9" s="2"/>
      <c r="L9" s="2"/>
    </row>
    <row r="10" spans="2:32" s="1" customFormat="1" ht="15" customHeight="1" x14ac:dyDescent="0.3">
      <c r="B10" s="403"/>
      <c r="C10" s="481"/>
      <c r="D10" s="479"/>
      <c r="E10" s="479"/>
      <c r="F10" s="480"/>
      <c r="H10" s="58"/>
      <c r="I10" s="59"/>
      <c r="J10" s="2"/>
      <c r="K10" s="2"/>
      <c r="L10" s="2"/>
    </row>
    <row r="11" spans="2:32" s="1" customFormat="1" ht="15" customHeight="1" thickBot="1" x14ac:dyDescent="0.35">
      <c r="B11" s="404" t="s">
        <v>185</v>
      </c>
      <c r="C11" s="482">
        <f>C8*12</f>
        <v>844800</v>
      </c>
      <c r="D11" s="482">
        <f>D8*12</f>
        <v>105600</v>
      </c>
      <c r="E11" s="482">
        <f>E8*12</f>
        <v>95040</v>
      </c>
      <c r="F11" s="483">
        <f>+E11+D11+C11</f>
        <v>1045440</v>
      </c>
      <c r="H11" s="58"/>
      <c r="I11" s="59"/>
      <c r="J11" s="2"/>
      <c r="K11" s="2"/>
      <c r="L11" s="2"/>
    </row>
    <row r="12" spans="2:32" s="1" customFormat="1" x14ac:dyDescent="0.3">
      <c r="B12" s="268"/>
      <c r="C12" s="405"/>
      <c r="D12" s="406"/>
      <c r="E12" s="407" t="s">
        <v>0</v>
      </c>
      <c r="F12" s="407"/>
      <c r="G12" s="44"/>
      <c r="H12" s="44"/>
      <c r="I12" s="44"/>
      <c r="J12" s="44"/>
      <c r="K12" s="44"/>
      <c r="L12" s="44"/>
      <c r="M12" s="44"/>
      <c r="N12" s="49"/>
      <c r="O12" s="293"/>
      <c r="P12" s="51"/>
      <c r="Q12" s="45"/>
      <c r="R12" s="45"/>
      <c r="S12" s="45"/>
      <c r="T12" s="34"/>
      <c r="U12" s="31"/>
      <c r="V12" s="50"/>
      <c r="W12" s="2"/>
      <c r="X12" s="2"/>
      <c r="Y12" s="2"/>
    </row>
    <row r="15" spans="2:32" ht="15" customHeight="1" thickBot="1" x14ac:dyDescent="0.35"/>
    <row r="16" spans="2:32" s="11" customFormat="1" ht="30.75" customHeight="1" x14ac:dyDescent="0.3">
      <c r="B16" s="550" t="s">
        <v>186</v>
      </c>
      <c r="C16" s="551"/>
      <c r="D16" s="36">
        <v>1</v>
      </c>
      <c r="E16" s="36">
        <f>D16+1</f>
        <v>2</v>
      </c>
      <c r="F16" s="36">
        <f t="shared" ref="F16:AB16" si="0">E16+1</f>
        <v>3</v>
      </c>
      <c r="G16" s="36">
        <f t="shared" si="0"/>
        <v>4</v>
      </c>
      <c r="H16" s="36">
        <f t="shared" si="0"/>
        <v>5</v>
      </c>
      <c r="I16" s="36">
        <f t="shared" si="0"/>
        <v>6</v>
      </c>
      <c r="J16" s="36">
        <f t="shared" si="0"/>
        <v>7</v>
      </c>
      <c r="K16" s="36">
        <f>J16+1</f>
        <v>8</v>
      </c>
      <c r="L16" s="36">
        <f t="shared" si="0"/>
        <v>9</v>
      </c>
      <c r="M16" s="36">
        <f t="shared" si="0"/>
        <v>10</v>
      </c>
      <c r="N16" s="36">
        <f t="shared" si="0"/>
        <v>11</v>
      </c>
      <c r="O16" s="36">
        <f t="shared" si="0"/>
        <v>12</v>
      </c>
      <c r="P16" s="36">
        <f t="shared" si="0"/>
        <v>13</v>
      </c>
      <c r="Q16" s="36">
        <f t="shared" si="0"/>
        <v>14</v>
      </c>
      <c r="R16" s="36">
        <f t="shared" si="0"/>
        <v>15</v>
      </c>
      <c r="S16" s="36">
        <f>R16+1</f>
        <v>16</v>
      </c>
      <c r="T16" s="36">
        <f>S16+1</f>
        <v>17</v>
      </c>
      <c r="U16" s="36">
        <f t="shared" si="0"/>
        <v>18</v>
      </c>
      <c r="V16" s="36">
        <f t="shared" si="0"/>
        <v>19</v>
      </c>
      <c r="W16" s="37">
        <f t="shared" si="0"/>
        <v>20</v>
      </c>
      <c r="X16" s="37">
        <f t="shared" si="0"/>
        <v>21</v>
      </c>
      <c r="Y16" s="37">
        <f t="shared" si="0"/>
        <v>22</v>
      </c>
      <c r="Z16" s="37">
        <f t="shared" si="0"/>
        <v>23</v>
      </c>
      <c r="AA16" s="408">
        <f t="shared" si="0"/>
        <v>24</v>
      </c>
      <c r="AB16" s="409">
        <f t="shared" si="0"/>
        <v>25</v>
      </c>
      <c r="AC16" s="1"/>
      <c r="AD16" s="1"/>
      <c r="AE16" s="1"/>
      <c r="AF16" s="1"/>
    </row>
    <row r="17" spans="2:28" ht="30.75" customHeight="1" x14ac:dyDescent="0.3">
      <c r="B17" s="380" t="s">
        <v>132</v>
      </c>
      <c r="D17" s="441">
        <v>1</v>
      </c>
      <c r="E17" s="441">
        <v>1</v>
      </c>
      <c r="F17" s="441">
        <v>1</v>
      </c>
      <c r="G17" s="441">
        <v>1</v>
      </c>
      <c r="H17" s="441">
        <v>1</v>
      </c>
      <c r="I17" s="441">
        <v>1</v>
      </c>
      <c r="J17" s="441">
        <v>1</v>
      </c>
      <c r="K17" s="441">
        <v>1</v>
      </c>
      <c r="L17" s="441">
        <v>1</v>
      </c>
      <c r="M17" s="441">
        <v>1</v>
      </c>
      <c r="N17" s="441">
        <v>1</v>
      </c>
      <c r="O17" s="441">
        <v>1</v>
      </c>
      <c r="P17" s="441">
        <v>1</v>
      </c>
      <c r="Q17" s="441">
        <v>1</v>
      </c>
      <c r="R17" s="441">
        <v>1</v>
      </c>
      <c r="S17" s="441">
        <v>1</v>
      </c>
      <c r="T17" s="441">
        <v>1</v>
      </c>
      <c r="U17" s="441">
        <v>1</v>
      </c>
      <c r="V17" s="441">
        <v>1</v>
      </c>
      <c r="W17" s="441">
        <v>1</v>
      </c>
      <c r="X17" s="441">
        <v>1</v>
      </c>
      <c r="Y17" s="441">
        <v>1</v>
      </c>
      <c r="Z17" s="441">
        <v>1</v>
      </c>
      <c r="AA17" s="441">
        <v>1</v>
      </c>
      <c r="AB17" s="441">
        <v>1</v>
      </c>
    </row>
    <row r="18" spans="2:28" x14ac:dyDescent="0.3">
      <c r="B18" s="415" t="s">
        <v>187</v>
      </c>
      <c r="D18" s="522">
        <f>+C11*D17</f>
        <v>844800</v>
      </c>
      <c r="E18" s="522">
        <f>+$D$18*E17*(1+'SITE Model - INPUT PARAMETERS'!$C$29)^(E$16-1)</f>
        <v>853248</v>
      </c>
      <c r="F18" s="522">
        <f>+$D$18*F17*(1+'SITE Model - INPUT PARAMETERS'!$C$29)^(F$16-1)</f>
        <v>861780.47999999998</v>
      </c>
      <c r="G18" s="522">
        <f>+$D$18*G17*(1+'SITE Model - INPUT PARAMETERS'!$C$29)^(G$16-1)</f>
        <v>870398.28479999991</v>
      </c>
      <c r="H18" s="522">
        <f>+$D$18*H17*(1+'SITE Model - INPUT PARAMETERS'!$C$29)^(H$16-1)</f>
        <v>879102.26764800004</v>
      </c>
      <c r="I18" s="522">
        <f>+$D$18*I17*(1+'SITE Model - INPUT PARAMETERS'!$C$29)^(I$16-1)</f>
        <v>887893.29032447992</v>
      </c>
      <c r="J18" s="522">
        <f>+$D$18*J17*(1+'SITE Model - INPUT PARAMETERS'!$C$29)^(J$16-1)</f>
        <v>896772.2232277249</v>
      </c>
      <c r="K18" s="522">
        <f>+$D$18*K17*(1+'SITE Model - INPUT PARAMETERS'!$C$29)^(K$16-1)</f>
        <v>905739.94546000194</v>
      </c>
      <c r="L18" s="522">
        <f>+$D$18*L17*(1+'SITE Model - INPUT PARAMETERS'!$C$29)^(L$16-1)</f>
        <v>914797.34491460223</v>
      </c>
      <c r="M18" s="522">
        <f>+$D$18*M17*(1+'SITE Model - INPUT PARAMETERS'!$C$29)^(M$16-1)</f>
        <v>923945.31836374826</v>
      </c>
      <c r="N18" s="522">
        <f>+$D$18*N17*(1+'SITE Model - INPUT PARAMETERS'!$C$29)^(N$16-1)</f>
        <v>933184.77154738572</v>
      </c>
      <c r="O18" s="522">
        <f>+$D$18*O17*(1+'SITE Model - INPUT PARAMETERS'!$C$29)^(O$16-1)</f>
        <v>942516.61926285946</v>
      </c>
      <c r="P18" s="522">
        <f>+$D$18*P17*(1+'SITE Model - INPUT PARAMETERS'!$C$29)^(P$16-1)</f>
        <v>951941.78545548802</v>
      </c>
      <c r="Q18" s="522">
        <f>+$D$18*Q17*(1+'SITE Model - INPUT PARAMETERS'!$C$29)^(Q$16-1)</f>
        <v>961461.20331004297</v>
      </c>
      <c r="R18" s="522">
        <f>+$D$18*R17*(1+'SITE Model - INPUT PARAMETERS'!$C$29)^(R$16-1)</f>
        <v>971075.81534314353</v>
      </c>
      <c r="S18" s="522">
        <f>+$D$18*S17*(1+'SITE Model - INPUT PARAMETERS'!$C$29)^(S$16-1)</f>
        <v>980786.57349657465</v>
      </c>
      <c r="T18" s="522">
        <f>+$D$18*T17*(1+'SITE Model - INPUT PARAMETERS'!$C$29)^(T$16-1)</f>
        <v>990594.43923154077</v>
      </c>
      <c r="U18" s="522">
        <f>+$D$18*U17*(1+'SITE Model - INPUT PARAMETERS'!$C$29)^(U$16-1)</f>
        <v>1000500.3836238562</v>
      </c>
      <c r="V18" s="522">
        <f>+$D$18*V17*(1+'SITE Model - INPUT PARAMETERS'!$C$29)^(V$16-1)</f>
        <v>1010505.3874600948</v>
      </c>
      <c r="W18" s="522">
        <f>+$D$18*W17*(1+'SITE Model - INPUT PARAMETERS'!$C$29)^(W$16-1)</f>
        <v>1020610.4413346956</v>
      </c>
      <c r="X18" s="522">
        <f>+$D$18*X17*(1+'SITE Model - INPUT PARAMETERS'!$C$29)^(X$16-1)</f>
        <v>1030816.5457480425</v>
      </c>
      <c r="Y18" s="522">
        <f>+$D$18*Y17*(1+'SITE Model - INPUT PARAMETERS'!$C$29)^(Y$16-1)</f>
        <v>1041124.7112055229</v>
      </c>
      <c r="Z18" s="522">
        <f>+$D$18*Z17*(1+'SITE Model - INPUT PARAMETERS'!$C$29)^(Z$16-1)</f>
        <v>1051535.9583175783</v>
      </c>
      <c r="AA18" s="522">
        <f>+$D$18*AA17*(1+'SITE Model - INPUT PARAMETERS'!$C$29)^(AA$16-1)</f>
        <v>1062051.317900754</v>
      </c>
      <c r="AB18" s="522">
        <f>+$D$18*AB17*(1+'SITE Model - INPUT PARAMETERS'!$C$29)^(AB$16-1)</f>
        <v>1072671.8310797617</v>
      </c>
    </row>
    <row r="19" spans="2:28" x14ac:dyDescent="0.3">
      <c r="B19" s="415" t="s">
        <v>129</v>
      </c>
      <c r="D19" s="522">
        <f>+D11*D17</f>
        <v>105600</v>
      </c>
      <c r="E19" s="522">
        <f>+$D$19*E17*(1+'SITE Model - INPUT PARAMETERS'!$C$29)^(E$16-1)</f>
        <v>106656</v>
      </c>
      <c r="F19" s="522">
        <f>+$D$19*F17*(1+'SITE Model - INPUT PARAMETERS'!$C$29)^(F$16-1)</f>
        <v>107722.56</v>
      </c>
      <c r="G19" s="522">
        <f>+$D$19*G17*(1+'SITE Model - INPUT PARAMETERS'!$C$29)^(G$16-1)</f>
        <v>108799.78559999999</v>
      </c>
      <c r="H19" s="522">
        <f>+$D$19*H17*(1+'SITE Model - INPUT PARAMETERS'!$C$29)^(H$16-1)</f>
        <v>109887.783456</v>
      </c>
      <c r="I19" s="522">
        <f>+$D$19*I17*(1+'SITE Model - INPUT PARAMETERS'!$C$29)^(I$16-1)</f>
        <v>110986.66129055999</v>
      </c>
      <c r="J19" s="522">
        <f>+$D$19*J17*(1+'SITE Model - INPUT PARAMETERS'!$C$29)^(J$16-1)</f>
        <v>112096.52790346561</v>
      </c>
      <c r="K19" s="522">
        <f>+$D$19*K17*(1+'SITE Model - INPUT PARAMETERS'!$C$29)^(K$16-1)</f>
        <v>113217.49318250024</v>
      </c>
      <c r="L19" s="522">
        <f>+$D$19*L17*(1+'SITE Model - INPUT PARAMETERS'!$C$29)^(L$16-1)</f>
        <v>114349.66811432528</v>
      </c>
      <c r="M19" s="522">
        <f>+$D$19*M17*(1+'SITE Model - INPUT PARAMETERS'!$C$29)^(M$16-1)</f>
        <v>115493.16479546853</v>
      </c>
      <c r="N19" s="522">
        <f>+$D$19*N17*(1+'SITE Model - INPUT PARAMETERS'!$C$29)^(N$16-1)</f>
        <v>116648.09644342322</v>
      </c>
      <c r="O19" s="522">
        <f>+$D$19*O17*(1+'SITE Model - INPUT PARAMETERS'!$C$29)^(O$16-1)</f>
        <v>117814.57740785743</v>
      </c>
      <c r="P19" s="522">
        <f>+$D$19*P17*(1+'SITE Model - INPUT PARAMETERS'!$C$29)^(P$16-1)</f>
        <v>118992.723181936</v>
      </c>
      <c r="Q19" s="522">
        <f>+$D$19*Q17*(1+'SITE Model - INPUT PARAMETERS'!$C$29)^(Q$16-1)</f>
        <v>120182.65041375537</v>
      </c>
      <c r="R19" s="522">
        <f>+$D$19*R17*(1+'SITE Model - INPUT PARAMETERS'!$C$29)^(R$16-1)</f>
        <v>121384.47691789294</v>
      </c>
      <c r="S19" s="522">
        <f>+$D$19*S17*(1+'SITE Model - INPUT PARAMETERS'!$C$29)^(S$16-1)</f>
        <v>122598.32168707183</v>
      </c>
      <c r="T19" s="522">
        <f>+$D$19*T17*(1+'SITE Model - INPUT PARAMETERS'!$C$29)^(T$16-1)</f>
        <v>123824.3049039426</v>
      </c>
      <c r="U19" s="522">
        <f>+$D$19*U17*(1+'SITE Model - INPUT PARAMETERS'!$C$29)^(U$16-1)</f>
        <v>125062.54795298203</v>
      </c>
      <c r="V19" s="522">
        <f>+$D$19*V17*(1+'SITE Model - INPUT PARAMETERS'!$C$29)^(V$16-1)</f>
        <v>126313.17343251185</v>
      </c>
      <c r="W19" s="522">
        <f>+$D$19*W17*(1+'SITE Model - INPUT PARAMETERS'!$C$29)^(W$16-1)</f>
        <v>127576.30516683694</v>
      </c>
      <c r="X19" s="522">
        <f>+$D$19*X17*(1+'SITE Model - INPUT PARAMETERS'!$C$29)^(X$16-1)</f>
        <v>128852.06821850532</v>
      </c>
      <c r="Y19" s="522">
        <f>+$D$19*Y17*(1+'SITE Model - INPUT PARAMETERS'!$C$29)^(Y$16-1)</f>
        <v>130140.58890069036</v>
      </c>
      <c r="Z19" s="522">
        <f>+$D$19*Z17*(1+'SITE Model - INPUT PARAMETERS'!$C$29)^(Z$16-1)</f>
        <v>131441.99478969729</v>
      </c>
      <c r="AA19" s="522">
        <f>+$D$19*AA17*(1+'SITE Model - INPUT PARAMETERS'!$C$29)^(AA$16-1)</f>
        <v>132756.41473759426</v>
      </c>
      <c r="AB19" s="522">
        <f>+$D$19*AB17*(1+'SITE Model - INPUT PARAMETERS'!$C$29)^(AB$16-1)</f>
        <v>134083.97888497022</v>
      </c>
    </row>
    <row r="20" spans="2:28" ht="15" thickBot="1" x14ac:dyDescent="0.35">
      <c r="B20" s="415" t="s">
        <v>130</v>
      </c>
      <c r="D20" s="522">
        <f>+E11*D17</f>
        <v>95040</v>
      </c>
      <c r="E20" s="522">
        <f>+$D$20*E17*(1+'SITE Model - INPUT PARAMETERS'!$C$29)^(E$16-1)</f>
        <v>95990.399999999994</v>
      </c>
      <c r="F20" s="522">
        <f>+$D$20*F17*(1+'SITE Model - INPUT PARAMETERS'!$C$29)^(F$16-1)</f>
        <v>96950.304000000004</v>
      </c>
      <c r="G20" s="522">
        <f>+$D$20*G17*(1+'SITE Model - INPUT PARAMETERS'!$C$29)^(G$16-1)</f>
        <v>97919.807039999985</v>
      </c>
      <c r="H20" s="522">
        <f>+$D$20*H17*(1+'SITE Model - INPUT PARAMETERS'!$C$29)^(H$16-1)</f>
        <v>98899.005110400001</v>
      </c>
      <c r="I20" s="522">
        <f>+$D$20*I17*(1+'SITE Model - INPUT PARAMETERS'!$C$29)^(I$16-1)</f>
        <v>99887.99516150399</v>
      </c>
      <c r="J20" s="522">
        <f>+$D$20*J17*(1+'SITE Model - INPUT PARAMETERS'!$C$29)^(J$16-1)</f>
        <v>100886.87511311905</v>
      </c>
      <c r="K20" s="522">
        <f>+$D$20*K17*(1+'SITE Model - INPUT PARAMETERS'!$C$29)^(K$16-1)</f>
        <v>101895.74386425021</v>
      </c>
      <c r="L20" s="522">
        <f>+$D$20*L17*(1+'SITE Model - INPUT PARAMETERS'!$C$29)^(L$16-1)</f>
        <v>102914.70130289275</v>
      </c>
      <c r="M20" s="522">
        <f>+$D$20*M17*(1+'SITE Model - INPUT PARAMETERS'!$C$29)^(M$16-1)</f>
        <v>103943.84831592168</v>
      </c>
      <c r="N20" s="522">
        <f>+$D$20*N17*(1+'SITE Model - INPUT PARAMETERS'!$C$29)^(N$16-1)</f>
        <v>104983.2867990809</v>
      </c>
      <c r="O20" s="522">
        <f>+$D$20*O17*(1+'SITE Model - INPUT PARAMETERS'!$C$29)^(O$16-1)</f>
        <v>106033.11966707169</v>
      </c>
      <c r="P20" s="522">
        <f>+$D$20*P17*(1+'SITE Model - INPUT PARAMETERS'!$C$29)^(P$16-1)</f>
        <v>107093.4508637424</v>
      </c>
      <c r="Q20" s="522">
        <f>+$D$20*Q17*(1+'SITE Model - INPUT PARAMETERS'!$C$29)^(Q$16-1)</f>
        <v>108164.38537237984</v>
      </c>
      <c r="R20" s="522">
        <f>+$D$20*R17*(1+'SITE Model - INPUT PARAMETERS'!$C$29)^(R$16-1)</f>
        <v>109246.02922610365</v>
      </c>
      <c r="S20" s="522">
        <f>+$D$20*S17*(1+'SITE Model - INPUT PARAMETERS'!$C$29)^(S$16-1)</f>
        <v>110338.48951836466</v>
      </c>
      <c r="T20" s="522">
        <f>+$D$20*T17*(1+'SITE Model - INPUT PARAMETERS'!$C$29)^(T$16-1)</f>
        <v>111441.87441354833</v>
      </c>
      <c r="U20" s="522">
        <f>+$D$20*U17*(1+'SITE Model - INPUT PARAMETERS'!$C$29)^(U$16-1)</f>
        <v>112556.29315768382</v>
      </c>
      <c r="V20" s="522">
        <f>+$D$20*V17*(1+'SITE Model - INPUT PARAMETERS'!$C$29)^(V$16-1)</f>
        <v>113681.85608926066</v>
      </c>
      <c r="W20" s="522">
        <f>+$D$20*W17*(1+'SITE Model - INPUT PARAMETERS'!$C$29)^(W$16-1)</f>
        <v>114818.67465015325</v>
      </c>
      <c r="X20" s="522">
        <f>+$D$20*X17*(1+'SITE Model - INPUT PARAMETERS'!$C$29)^(X$16-1)</f>
        <v>115966.86139665479</v>
      </c>
      <c r="Y20" s="522">
        <f>+$D$20*Y17*(1+'SITE Model - INPUT PARAMETERS'!$C$29)^(Y$16-1)</f>
        <v>117126.53001062133</v>
      </c>
      <c r="Z20" s="522">
        <f>+$D$20*Z17*(1+'SITE Model - INPUT PARAMETERS'!$C$29)^(Z$16-1)</f>
        <v>118297.79531072757</v>
      </c>
      <c r="AA20" s="522">
        <f>+$D$20*AA17*(1+'SITE Model - INPUT PARAMETERS'!$C$29)^(AA$16-1)</f>
        <v>119480.77326383482</v>
      </c>
      <c r="AB20" s="522">
        <f>+$D$20*AB17*(1+'SITE Model - INPUT PARAMETERS'!$C$29)^(AB$16-1)</f>
        <v>120675.5809964732</v>
      </c>
    </row>
    <row r="21" spans="2:28" ht="28.05" customHeight="1" thickBot="1" x14ac:dyDescent="0.35">
      <c r="B21" s="430" t="s">
        <v>188</v>
      </c>
      <c r="C21" s="431"/>
      <c r="D21" s="523">
        <f>SUM(D18:D20)</f>
        <v>1045440</v>
      </c>
      <c r="E21" s="523">
        <f t="shared" ref="E21:AB21" si="1">SUM(E18:E20)</f>
        <v>1055894.3999999999</v>
      </c>
      <c r="F21" s="523">
        <f t="shared" si="1"/>
        <v>1066453.344</v>
      </c>
      <c r="G21" s="523">
        <f t="shared" si="1"/>
        <v>1077117.87744</v>
      </c>
      <c r="H21" s="523">
        <f t="shared" si="1"/>
        <v>1087889.0562144001</v>
      </c>
      <c r="I21" s="523">
        <f t="shared" si="1"/>
        <v>1098767.946776544</v>
      </c>
      <c r="J21" s="523">
        <f t="shared" si="1"/>
        <v>1109755.6262443096</v>
      </c>
      <c r="K21" s="523">
        <f t="shared" si="1"/>
        <v>1120853.1825067524</v>
      </c>
      <c r="L21" s="523">
        <f t="shared" si="1"/>
        <v>1132061.7143318201</v>
      </c>
      <c r="M21" s="523">
        <f t="shared" si="1"/>
        <v>1143382.3314751384</v>
      </c>
      <c r="N21" s="523">
        <f t="shared" si="1"/>
        <v>1154816.1547898899</v>
      </c>
      <c r="O21" s="523">
        <f t="shared" si="1"/>
        <v>1166364.3163377885</v>
      </c>
      <c r="P21" s="523">
        <f t="shared" si="1"/>
        <v>1178027.9595011666</v>
      </c>
      <c r="Q21" s="523">
        <f t="shared" si="1"/>
        <v>1189808.2390961782</v>
      </c>
      <c r="R21" s="523">
        <f t="shared" si="1"/>
        <v>1201706.3214871401</v>
      </c>
      <c r="S21" s="523">
        <f t="shared" si="1"/>
        <v>1213723.3847020112</v>
      </c>
      <c r="T21" s="523">
        <f t="shared" si="1"/>
        <v>1225860.6185490317</v>
      </c>
      <c r="U21" s="523">
        <f t="shared" si="1"/>
        <v>1238119.2247345222</v>
      </c>
      <c r="V21" s="523">
        <f t="shared" si="1"/>
        <v>1250500.4169818673</v>
      </c>
      <c r="W21" s="523">
        <f t="shared" si="1"/>
        <v>1263005.4211516855</v>
      </c>
      <c r="X21" s="523">
        <f t="shared" si="1"/>
        <v>1275635.4753632026</v>
      </c>
      <c r="Y21" s="523">
        <f t="shared" si="1"/>
        <v>1288391.8301168345</v>
      </c>
      <c r="Z21" s="523">
        <f t="shared" si="1"/>
        <v>1301275.7484180031</v>
      </c>
      <c r="AA21" s="523">
        <f t="shared" si="1"/>
        <v>1314288.5059021832</v>
      </c>
      <c r="AB21" s="524">
        <f t="shared" si="1"/>
        <v>1327431.3909612051</v>
      </c>
    </row>
  </sheetData>
  <mergeCells count="3">
    <mergeCell ref="B16:C16"/>
    <mergeCell ref="B2:F2"/>
    <mergeCell ref="B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8732-EC3D-4C3B-BF62-BA236461203A}">
  <dimension ref="B2:AF21"/>
  <sheetViews>
    <sheetView workbookViewId="0">
      <selection activeCell="C8" sqref="C8"/>
    </sheetView>
  </sheetViews>
  <sheetFormatPr defaultColWidth="11.44140625" defaultRowHeight="14.4" x14ac:dyDescent="0.3"/>
  <cols>
    <col min="1" max="1" width="3.77734375" customWidth="1"/>
    <col min="2" max="2" width="27.77734375" customWidth="1"/>
    <col min="3" max="3" width="18.21875" bestFit="1" customWidth="1"/>
    <col min="4" max="4" width="16.21875" customWidth="1"/>
    <col min="5" max="5" width="18.44140625" customWidth="1"/>
    <col min="6" max="6" width="16.21875" customWidth="1"/>
    <col min="7" max="7" width="13.21875" bestFit="1" customWidth="1"/>
    <col min="8" max="8" width="15.5546875" customWidth="1"/>
    <col min="9" max="9" width="17.77734375" customWidth="1"/>
    <col min="10" max="10" width="16.44140625" customWidth="1"/>
    <col min="11" max="11" width="17.77734375" customWidth="1"/>
    <col min="12" max="12" width="17.44140625" customWidth="1"/>
    <col min="13" max="13" width="15.21875" customWidth="1"/>
    <col min="14" max="14" width="15" customWidth="1"/>
    <col min="15" max="15" width="17.77734375" customWidth="1"/>
    <col min="16" max="16" width="18.44140625" customWidth="1"/>
    <col min="17" max="17" width="18.77734375" customWidth="1"/>
    <col min="18" max="18" width="16.21875" customWidth="1"/>
    <col min="19" max="19" width="17.21875" bestFit="1" customWidth="1"/>
    <col min="20" max="20" width="18.5546875" bestFit="1" customWidth="1"/>
    <col min="21" max="21" width="19.77734375" customWidth="1"/>
    <col min="22" max="36" width="16.21875" customWidth="1"/>
  </cols>
  <sheetData>
    <row r="2" spans="2:32" ht="17.399999999999999" x14ac:dyDescent="0.3">
      <c r="B2" s="552" t="s">
        <v>180</v>
      </c>
      <c r="C2" s="552"/>
      <c r="D2" s="552"/>
      <c r="E2" s="552"/>
      <c r="F2" s="552"/>
      <c r="G2" s="432"/>
      <c r="H2" s="432"/>
    </row>
    <row r="3" spans="2:32" ht="18" thickBot="1" x14ac:dyDescent="0.35">
      <c r="B3" s="410"/>
      <c r="C3" s="410"/>
      <c r="D3" s="410"/>
      <c r="E3" s="410"/>
      <c r="F3" s="410"/>
    </row>
    <row r="4" spans="2:32" s="1" customFormat="1" ht="18.600000000000001" customHeight="1" thickBot="1" x14ac:dyDescent="0.3">
      <c r="B4" s="553" t="s">
        <v>199</v>
      </c>
      <c r="C4" s="554"/>
      <c r="D4" s="554"/>
      <c r="E4" s="554"/>
      <c r="F4" s="555"/>
      <c r="G4" s="411"/>
      <c r="H4" s="411"/>
      <c r="I4" s="411"/>
      <c r="J4" s="2"/>
      <c r="K4" s="2"/>
      <c r="L4" s="2"/>
    </row>
    <row r="5" spans="2:32" s="1" customFormat="1" ht="21.75" customHeight="1" thickBot="1" x14ac:dyDescent="0.35">
      <c r="B5" s="395" t="s">
        <v>0</v>
      </c>
      <c r="C5" s="396" t="s">
        <v>128</v>
      </c>
      <c r="D5" s="395" t="s">
        <v>129</v>
      </c>
      <c r="E5" s="395" t="s">
        <v>181</v>
      </c>
      <c r="F5" s="412" t="s">
        <v>182</v>
      </c>
      <c r="H5" s="58"/>
      <c r="I5" s="62"/>
      <c r="J5" s="33"/>
      <c r="K5" s="2"/>
      <c r="L5" s="2"/>
    </row>
    <row r="6" spans="2:32" s="1" customFormat="1" ht="15" thickBot="1" x14ac:dyDescent="0.35">
      <c r="B6" s="437" t="s">
        <v>183</v>
      </c>
      <c r="C6" s="397">
        <v>0.7</v>
      </c>
      <c r="D6" s="398">
        <v>0.2</v>
      </c>
      <c r="E6" s="399">
        <v>0.1</v>
      </c>
      <c r="F6" s="436"/>
      <c r="H6" s="58"/>
      <c r="I6" s="62"/>
      <c r="J6" s="33"/>
      <c r="K6" s="2"/>
      <c r="L6" s="2"/>
    </row>
    <row r="7" spans="2:32" s="1" customFormat="1" x14ac:dyDescent="0.3">
      <c r="B7" s="433"/>
      <c r="C7" s="401"/>
      <c r="D7" s="402" t="s">
        <v>0</v>
      </c>
      <c r="E7" s="401"/>
      <c r="F7" s="434"/>
      <c r="H7" s="58"/>
      <c r="I7" s="62"/>
      <c r="J7" s="33"/>
      <c r="K7" s="2"/>
      <c r="L7" s="2"/>
    </row>
    <row r="8" spans="2:32" s="1" customFormat="1" x14ac:dyDescent="0.3">
      <c r="B8" s="400" t="s">
        <v>184</v>
      </c>
      <c r="C8" s="475">
        <f>40*22*30</f>
        <v>26400</v>
      </c>
      <c r="D8" s="476">
        <f>20*20*10</f>
        <v>4000</v>
      </c>
      <c r="E8" s="476">
        <f>(C8+D8)*E6</f>
        <v>3040</v>
      </c>
      <c r="F8" s="477">
        <f>SUM(C8:E8)</f>
        <v>33440</v>
      </c>
      <c r="H8" s="58"/>
      <c r="I8" s="62"/>
      <c r="J8" s="33"/>
      <c r="K8" s="2"/>
      <c r="L8" s="2"/>
    </row>
    <row r="9" spans="2:32" s="1" customFormat="1" ht="15.6" customHeight="1" x14ac:dyDescent="0.3">
      <c r="B9" s="435"/>
      <c r="C9" s="478"/>
      <c r="D9" s="479"/>
      <c r="E9" s="479"/>
      <c r="F9" s="480"/>
      <c r="H9" s="58"/>
      <c r="I9" s="62"/>
      <c r="J9" s="33"/>
      <c r="K9" s="2"/>
      <c r="L9" s="2"/>
    </row>
    <row r="10" spans="2:32" s="1" customFormat="1" ht="15" customHeight="1" x14ac:dyDescent="0.3">
      <c r="B10" s="403"/>
      <c r="C10" s="481"/>
      <c r="D10" s="479"/>
      <c r="E10" s="479"/>
      <c r="F10" s="480"/>
      <c r="H10" s="58"/>
      <c r="I10" s="59"/>
      <c r="J10" s="2"/>
      <c r="K10" s="2"/>
      <c r="L10" s="2"/>
    </row>
    <row r="11" spans="2:32" s="1" customFormat="1" ht="15" customHeight="1" thickBot="1" x14ac:dyDescent="0.35">
      <c r="B11" s="404" t="s">
        <v>185</v>
      </c>
      <c r="C11" s="482">
        <f>C8*12</f>
        <v>316800</v>
      </c>
      <c r="D11" s="482">
        <f>D8*12</f>
        <v>48000</v>
      </c>
      <c r="E11" s="482">
        <f>E8*12</f>
        <v>36480</v>
      </c>
      <c r="F11" s="483">
        <f>+E11+D11+C11</f>
        <v>401280</v>
      </c>
      <c r="H11" s="58"/>
      <c r="I11" s="59"/>
      <c r="J11" s="2"/>
      <c r="K11" s="2"/>
      <c r="L11" s="2"/>
    </row>
    <row r="12" spans="2:32" s="1" customFormat="1" x14ac:dyDescent="0.3">
      <c r="B12" s="268"/>
      <c r="C12" s="405"/>
      <c r="D12" s="406"/>
      <c r="E12" s="407" t="s">
        <v>0</v>
      </c>
      <c r="F12" s="407"/>
      <c r="G12" s="44"/>
      <c r="H12" s="44"/>
      <c r="I12" s="44"/>
      <c r="J12" s="44"/>
      <c r="K12" s="44"/>
      <c r="L12" s="44"/>
      <c r="M12" s="44"/>
      <c r="N12" s="49"/>
      <c r="O12" s="293"/>
      <c r="P12" s="51"/>
      <c r="Q12" s="45"/>
      <c r="R12" s="45"/>
      <c r="S12" s="45"/>
      <c r="T12" s="34"/>
      <c r="U12" s="31"/>
      <c r="V12" s="50"/>
      <c r="W12" s="2"/>
      <c r="X12" s="2"/>
      <c r="Y12" s="2"/>
    </row>
    <row r="15" spans="2:32" ht="15" customHeight="1" thickBot="1" x14ac:dyDescent="0.35"/>
    <row r="16" spans="2:32" s="11" customFormat="1" ht="30.75" customHeight="1" x14ac:dyDescent="0.3">
      <c r="B16" s="550" t="s">
        <v>186</v>
      </c>
      <c r="C16" s="551"/>
      <c r="D16" s="36">
        <v>1</v>
      </c>
      <c r="E16" s="36">
        <f>D16+1</f>
        <v>2</v>
      </c>
      <c r="F16" s="36">
        <f t="shared" ref="F16:AB16" si="0">E16+1</f>
        <v>3</v>
      </c>
      <c r="G16" s="36">
        <f t="shared" si="0"/>
        <v>4</v>
      </c>
      <c r="H16" s="36">
        <f t="shared" si="0"/>
        <v>5</v>
      </c>
      <c r="I16" s="36">
        <f t="shared" si="0"/>
        <v>6</v>
      </c>
      <c r="J16" s="36">
        <f t="shared" si="0"/>
        <v>7</v>
      </c>
      <c r="K16" s="36">
        <f>J16+1</f>
        <v>8</v>
      </c>
      <c r="L16" s="36">
        <f t="shared" si="0"/>
        <v>9</v>
      </c>
      <c r="M16" s="36">
        <f t="shared" si="0"/>
        <v>10</v>
      </c>
      <c r="N16" s="36">
        <f t="shared" si="0"/>
        <v>11</v>
      </c>
      <c r="O16" s="36">
        <f t="shared" si="0"/>
        <v>12</v>
      </c>
      <c r="P16" s="36">
        <f t="shared" si="0"/>
        <v>13</v>
      </c>
      <c r="Q16" s="36">
        <f t="shared" si="0"/>
        <v>14</v>
      </c>
      <c r="R16" s="36">
        <f t="shared" si="0"/>
        <v>15</v>
      </c>
      <c r="S16" s="36">
        <f>R16+1</f>
        <v>16</v>
      </c>
      <c r="T16" s="36">
        <f>S16+1</f>
        <v>17</v>
      </c>
      <c r="U16" s="36">
        <f t="shared" si="0"/>
        <v>18</v>
      </c>
      <c r="V16" s="36">
        <f t="shared" si="0"/>
        <v>19</v>
      </c>
      <c r="W16" s="37">
        <f t="shared" si="0"/>
        <v>20</v>
      </c>
      <c r="X16" s="37">
        <f t="shared" si="0"/>
        <v>21</v>
      </c>
      <c r="Y16" s="37">
        <f t="shared" si="0"/>
        <v>22</v>
      </c>
      <c r="Z16" s="37">
        <f t="shared" si="0"/>
        <v>23</v>
      </c>
      <c r="AA16" s="408">
        <f t="shared" si="0"/>
        <v>24</v>
      </c>
      <c r="AB16" s="409">
        <f t="shared" si="0"/>
        <v>25</v>
      </c>
      <c r="AC16" s="1"/>
      <c r="AD16" s="1"/>
      <c r="AE16" s="1"/>
      <c r="AF16" s="1"/>
    </row>
    <row r="17" spans="2:28" ht="30.75" customHeight="1" x14ac:dyDescent="0.3">
      <c r="B17" s="380" t="s">
        <v>132</v>
      </c>
      <c r="D17" s="441">
        <v>1</v>
      </c>
      <c r="E17" s="441">
        <v>1</v>
      </c>
      <c r="F17" s="441">
        <v>1</v>
      </c>
      <c r="G17" s="441">
        <v>1</v>
      </c>
      <c r="H17" s="441">
        <v>1</v>
      </c>
      <c r="I17" s="441">
        <v>1</v>
      </c>
      <c r="J17" s="441">
        <v>1</v>
      </c>
      <c r="K17" s="441">
        <v>1</v>
      </c>
      <c r="L17" s="441">
        <v>1</v>
      </c>
      <c r="M17" s="441">
        <v>1</v>
      </c>
      <c r="N17" s="441">
        <v>1</v>
      </c>
      <c r="O17" s="441">
        <v>1</v>
      </c>
      <c r="P17" s="441">
        <v>1</v>
      </c>
      <c r="Q17" s="441">
        <v>1</v>
      </c>
      <c r="R17" s="441">
        <v>1</v>
      </c>
      <c r="S17" s="441">
        <v>1</v>
      </c>
      <c r="T17" s="441">
        <v>1</v>
      </c>
      <c r="U17" s="441">
        <v>1</v>
      </c>
      <c r="V17" s="441">
        <v>1</v>
      </c>
      <c r="W17" s="441">
        <v>1</v>
      </c>
      <c r="X17" s="441">
        <v>1</v>
      </c>
      <c r="Y17" s="441">
        <v>1</v>
      </c>
      <c r="Z17" s="441">
        <v>1</v>
      </c>
      <c r="AA17" s="441">
        <v>1</v>
      </c>
      <c r="AB17" s="441">
        <v>1</v>
      </c>
    </row>
    <row r="18" spans="2:28" x14ac:dyDescent="0.3">
      <c r="B18" s="415" t="s">
        <v>187</v>
      </c>
      <c r="D18" s="522">
        <f>+C11*D17</f>
        <v>316800</v>
      </c>
      <c r="E18" s="522">
        <f>+$D$18*E17*(1+'SITE Model - INPUT PARAMETERS'!$C$29)^(E$16-1)</f>
        <v>319968</v>
      </c>
      <c r="F18" s="522">
        <f>+$D$18*F17*(1+'SITE Model - INPUT PARAMETERS'!$C$29)^(F$16-1)</f>
        <v>323167.68</v>
      </c>
      <c r="G18" s="522">
        <f>+$D$18*G17*(1+'SITE Model - INPUT PARAMETERS'!$C$29)^(G$16-1)</f>
        <v>326399.35679999995</v>
      </c>
      <c r="H18" s="522">
        <f>+$D$18*H17*(1+'SITE Model - INPUT PARAMETERS'!$C$29)^(H$16-1)</f>
        <v>329663.35036799998</v>
      </c>
      <c r="I18" s="522">
        <f>+$D$18*I17*(1+'SITE Model - INPUT PARAMETERS'!$C$29)^(I$16-1)</f>
        <v>332959.98387167999</v>
      </c>
      <c r="J18" s="522">
        <f>+$D$18*J17*(1+'SITE Model - INPUT PARAMETERS'!$C$29)^(J$16-1)</f>
        <v>336289.58371039684</v>
      </c>
      <c r="K18" s="522">
        <f>+$D$18*K17*(1+'SITE Model - INPUT PARAMETERS'!$C$29)^(K$16-1)</f>
        <v>339652.47954750073</v>
      </c>
      <c r="L18" s="522">
        <f>+$D$18*L17*(1+'SITE Model - INPUT PARAMETERS'!$C$29)^(L$16-1)</f>
        <v>343049.00434297579</v>
      </c>
      <c r="M18" s="522">
        <f>+$D$18*M17*(1+'SITE Model - INPUT PARAMETERS'!$C$29)^(M$16-1)</f>
        <v>346479.49438640563</v>
      </c>
      <c r="N18" s="522">
        <f>+$D$18*N17*(1+'SITE Model - INPUT PARAMETERS'!$C$29)^(N$16-1)</f>
        <v>349944.28933026968</v>
      </c>
      <c r="O18" s="522">
        <f>+$D$18*O17*(1+'SITE Model - INPUT PARAMETERS'!$C$29)^(O$16-1)</f>
        <v>353443.73222357227</v>
      </c>
      <c r="P18" s="522">
        <f>+$D$18*P17*(1+'SITE Model - INPUT PARAMETERS'!$C$29)^(P$16-1)</f>
        <v>356978.16954580805</v>
      </c>
      <c r="Q18" s="522">
        <f>+$D$18*Q17*(1+'SITE Model - INPUT PARAMETERS'!$C$29)^(Q$16-1)</f>
        <v>360547.9512412661</v>
      </c>
      <c r="R18" s="522">
        <f>+$D$18*R17*(1+'SITE Model - INPUT PARAMETERS'!$C$29)^(R$16-1)</f>
        <v>364153.43075367884</v>
      </c>
      <c r="S18" s="522">
        <f>+$D$18*S17*(1+'SITE Model - INPUT PARAMETERS'!$C$29)^(S$16-1)</f>
        <v>367794.96506121551</v>
      </c>
      <c r="T18" s="522">
        <f>+$D$18*T17*(1+'SITE Model - INPUT PARAMETERS'!$C$29)^(T$16-1)</f>
        <v>371472.91471182776</v>
      </c>
      <c r="U18" s="522">
        <f>+$D$18*U17*(1+'SITE Model - INPUT PARAMETERS'!$C$29)^(U$16-1)</f>
        <v>375187.64385894604</v>
      </c>
      <c r="V18" s="522">
        <f>+$D$18*V17*(1+'SITE Model - INPUT PARAMETERS'!$C$29)^(V$16-1)</f>
        <v>378939.52029753552</v>
      </c>
      <c r="W18" s="522">
        <f>+$D$18*W17*(1+'SITE Model - INPUT PARAMETERS'!$C$29)^(W$16-1)</f>
        <v>382728.91550051083</v>
      </c>
      <c r="X18" s="522">
        <f>+$D$18*X17*(1+'SITE Model - INPUT PARAMETERS'!$C$29)^(X$16-1)</f>
        <v>386556.20465551596</v>
      </c>
      <c r="Y18" s="522">
        <f>+$D$18*Y17*(1+'SITE Model - INPUT PARAMETERS'!$C$29)^(Y$16-1)</f>
        <v>390421.76670207107</v>
      </c>
      <c r="Z18" s="522">
        <f>+$D$18*Z17*(1+'SITE Model - INPUT PARAMETERS'!$C$29)^(Z$16-1)</f>
        <v>394325.98436909186</v>
      </c>
      <c r="AA18" s="522">
        <f>+$D$18*AA17*(1+'SITE Model - INPUT PARAMETERS'!$C$29)^(AA$16-1)</f>
        <v>398269.24421278277</v>
      </c>
      <c r="AB18" s="522">
        <f>+$D$18*AB17*(1+'SITE Model - INPUT PARAMETERS'!$C$29)^(AB$16-1)</f>
        <v>402251.93665491068</v>
      </c>
    </row>
    <row r="19" spans="2:28" x14ac:dyDescent="0.3">
      <c r="B19" s="415" t="s">
        <v>129</v>
      </c>
      <c r="D19" s="522">
        <f>+D11*D17</f>
        <v>48000</v>
      </c>
      <c r="E19" s="522">
        <f>+$D$19*E17*(1+'SITE Model - INPUT PARAMETERS'!$C$29)^(E$16-1)</f>
        <v>48480</v>
      </c>
      <c r="F19" s="522">
        <f>+$D$19*F17*(1+'SITE Model - INPUT PARAMETERS'!$C$29)^(F$16-1)</f>
        <v>48964.800000000003</v>
      </c>
      <c r="G19" s="522">
        <f>+$D$19*G17*(1+'SITE Model - INPUT PARAMETERS'!$C$29)^(G$16-1)</f>
        <v>49454.447999999997</v>
      </c>
      <c r="H19" s="522">
        <f>+$D$19*H17*(1+'SITE Model - INPUT PARAMETERS'!$C$29)^(H$16-1)</f>
        <v>49948.992480000001</v>
      </c>
      <c r="I19" s="522">
        <f>+$D$19*I17*(1+'SITE Model - INPUT PARAMETERS'!$C$29)^(I$16-1)</f>
        <v>50448.482404799994</v>
      </c>
      <c r="J19" s="522">
        <f>+$D$19*J17*(1+'SITE Model - INPUT PARAMETERS'!$C$29)^(J$16-1)</f>
        <v>50952.967228848007</v>
      </c>
      <c r="K19" s="522">
        <f>+$D$19*K17*(1+'SITE Model - INPUT PARAMETERS'!$C$29)^(K$16-1)</f>
        <v>51462.496901136474</v>
      </c>
      <c r="L19" s="522">
        <f>+$D$19*L17*(1+'SITE Model - INPUT PARAMETERS'!$C$29)^(L$16-1)</f>
        <v>51977.12187014785</v>
      </c>
      <c r="M19" s="522">
        <f>+$D$19*M17*(1+'SITE Model - INPUT PARAMETERS'!$C$29)^(M$16-1)</f>
        <v>52496.893088849334</v>
      </c>
      <c r="N19" s="522">
        <f>+$D$19*N17*(1+'SITE Model - INPUT PARAMETERS'!$C$29)^(N$16-1)</f>
        <v>53021.862019737826</v>
      </c>
      <c r="O19" s="522">
        <f>+$D$19*O17*(1+'SITE Model - INPUT PARAMETERS'!$C$29)^(O$16-1)</f>
        <v>53552.080639935193</v>
      </c>
      <c r="P19" s="522">
        <f>+$D$19*P17*(1+'SITE Model - INPUT PARAMETERS'!$C$29)^(P$16-1)</f>
        <v>54087.601446334549</v>
      </c>
      <c r="Q19" s="522">
        <f>+$D$19*Q17*(1+'SITE Model - INPUT PARAMETERS'!$C$29)^(Q$16-1)</f>
        <v>54628.477460797898</v>
      </c>
      <c r="R19" s="522">
        <f>+$D$19*R17*(1+'SITE Model - INPUT PARAMETERS'!$C$29)^(R$16-1)</f>
        <v>55174.762235405884</v>
      </c>
      <c r="S19" s="522">
        <f>+$D$19*S17*(1+'SITE Model - INPUT PARAMETERS'!$C$29)^(S$16-1)</f>
        <v>55726.509857759927</v>
      </c>
      <c r="T19" s="522">
        <f>+$D$19*T17*(1+'SITE Model - INPUT PARAMETERS'!$C$29)^(T$16-1)</f>
        <v>56283.77495633754</v>
      </c>
      <c r="U19" s="522">
        <f>+$D$19*U17*(1+'SITE Model - INPUT PARAMETERS'!$C$29)^(U$16-1)</f>
        <v>56846.612705900923</v>
      </c>
      <c r="V19" s="522">
        <f>+$D$19*V17*(1+'SITE Model - INPUT PARAMETERS'!$C$29)^(V$16-1)</f>
        <v>57415.078832959931</v>
      </c>
      <c r="W19" s="522">
        <f>+$D$19*W17*(1+'SITE Model - INPUT PARAMETERS'!$C$29)^(W$16-1)</f>
        <v>57989.229621289516</v>
      </c>
      <c r="X19" s="522">
        <f>+$D$19*X17*(1+'SITE Model - INPUT PARAMETERS'!$C$29)^(X$16-1)</f>
        <v>58569.121917502416</v>
      </c>
      <c r="Y19" s="522">
        <f>+$D$19*Y17*(1+'SITE Model - INPUT PARAMETERS'!$C$29)^(Y$16-1)</f>
        <v>59154.81313667744</v>
      </c>
      <c r="Z19" s="522">
        <f>+$D$19*Z17*(1+'SITE Model - INPUT PARAMETERS'!$C$29)^(Z$16-1)</f>
        <v>59746.361268044224</v>
      </c>
      <c r="AA19" s="522">
        <f>+$D$19*AA17*(1+'SITE Model - INPUT PARAMETERS'!$C$29)^(AA$16-1)</f>
        <v>60343.824880724656</v>
      </c>
      <c r="AB19" s="522">
        <f>+$D$19*AB17*(1+'SITE Model - INPUT PARAMETERS'!$C$29)^(AB$16-1)</f>
        <v>60947.263129531922</v>
      </c>
    </row>
    <row r="20" spans="2:28" ht="15" thickBot="1" x14ac:dyDescent="0.35">
      <c r="B20" s="415" t="s">
        <v>130</v>
      </c>
      <c r="D20" s="522">
        <f>+E11*D17</f>
        <v>36480</v>
      </c>
      <c r="E20" s="522">
        <f>+$D$20*E17*(1+'SITE Model - INPUT PARAMETERS'!$C$29)^(E$16-1)</f>
        <v>36844.800000000003</v>
      </c>
      <c r="F20" s="522">
        <f>+$D$20*F17*(1+'SITE Model - INPUT PARAMETERS'!$C$29)^(F$16-1)</f>
        <v>37213.248</v>
      </c>
      <c r="G20" s="522">
        <f>+$D$20*G17*(1+'SITE Model - INPUT PARAMETERS'!$C$29)^(G$16-1)</f>
        <v>37585.38048</v>
      </c>
      <c r="H20" s="522">
        <f>+$D$20*H17*(1+'SITE Model - INPUT PARAMETERS'!$C$29)^(H$16-1)</f>
        <v>37961.234284800004</v>
      </c>
      <c r="I20" s="522">
        <f>+$D$20*I17*(1+'SITE Model - INPUT PARAMETERS'!$C$29)^(I$16-1)</f>
        <v>38340.846627647996</v>
      </c>
      <c r="J20" s="522">
        <f>+$D$20*J17*(1+'SITE Model - INPUT PARAMETERS'!$C$29)^(J$16-1)</f>
        <v>38724.255093924483</v>
      </c>
      <c r="K20" s="522">
        <f>+$D$20*K17*(1+'SITE Model - INPUT PARAMETERS'!$C$29)^(K$16-1)</f>
        <v>39111.497644863717</v>
      </c>
      <c r="L20" s="522">
        <f>+$D$20*L17*(1+'SITE Model - INPUT PARAMETERS'!$C$29)^(L$16-1)</f>
        <v>39502.612621312364</v>
      </c>
      <c r="M20" s="522">
        <f>+$D$20*M17*(1+'SITE Model - INPUT PARAMETERS'!$C$29)^(M$16-1)</f>
        <v>39897.638747525496</v>
      </c>
      <c r="N20" s="522">
        <f>+$D$20*N17*(1+'SITE Model - INPUT PARAMETERS'!$C$29)^(N$16-1)</f>
        <v>40296.615135000749</v>
      </c>
      <c r="O20" s="522">
        <f>+$D$20*O17*(1+'SITE Model - INPUT PARAMETERS'!$C$29)^(O$16-1)</f>
        <v>40699.581286350745</v>
      </c>
      <c r="P20" s="522">
        <f>+$D$20*P17*(1+'SITE Model - INPUT PARAMETERS'!$C$29)^(P$16-1)</f>
        <v>41106.577099214257</v>
      </c>
      <c r="Q20" s="522">
        <f>+$D$20*Q17*(1+'SITE Model - INPUT PARAMETERS'!$C$29)^(Q$16-1)</f>
        <v>41517.6428702064</v>
      </c>
      <c r="R20" s="522">
        <f>+$D$20*R17*(1+'SITE Model - INPUT PARAMETERS'!$C$29)^(R$16-1)</f>
        <v>41932.819298908471</v>
      </c>
      <c r="S20" s="522">
        <f>+$D$20*S17*(1+'SITE Model - INPUT PARAMETERS'!$C$29)^(S$16-1)</f>
        <v>42352.147491897544</v>
      </c>
      <c r="T20" s="522">
        <f>+$D$20*T17*(1+'SITE Model - INPUT PARAMETERS'!$C$29)^(T$16-1)</f>
        <v>42775.668966816535</v>
      </c>
      <c r="U20" s="522">
        <f>+$D$20*U17*(1+'SITE Model - INPUT PARAMETERS'!$C$29)^(U$16-1)</f>
        <v>43203.425656484702</v>
      </c>
      <c r="V20" s="522">
        <f>+$D$20*V17*(1+'SITE Model - INPUT PARAMETERS'!$C$29)^(V$16-1)</f>
        <v>43635.459913049548</v>
      </c>
      <c r="W20" s="522">
        <f>+$D$20*W17*(1+'SITE Model - INPUT PARAMETERS'!$C$29)^(W$16-1)</f>
        <v>44071.814512180033</v>
      </c>
      <c r="X20" s="522">
        <f>+$D$20*X17*(1+'SITE Model - INPUT PARAMETERS'!$C$29)^(X$16-1)</f>
        <v>44512.532657301839</v>
      </c>
      <c r="Y20" s="522">
        <f>+$D$20*Y17*(1+'SITE Model - INPUT PARAMETERS'!$C$29)^(Y$16-1)</f>
        <v>44957.657983874851</v>
      </c>
      <c r="Z20" s="522">
        <f>+$D$20*Z17*(1+'SITE Model - INPUT PARAMETERS'!$C$29)^(Z$16-1)</f>
        <v>45407.23456371361</v>
      </c>
      <c r="AA20" s="522">
        <f>+$D$20*AA17*(1+'SITE Model - INPUT PARAMETERS'!$C$29)^(AA$16-1)</f>
        <v>45861.306909350737</v>
      </c>
      <c r="AB20" s="522">
        <f>+$D$20*AB17*(1+'SITE Model - INPUT PARAMETERS'!$C$29)^(AB$16-1)</f>
        <v>46319.919978444261</v>
      </c>
    </row>
    <row r="21" spans="2:28" ht="28.05" customHeight="1" thickBot="1" x14ac:dyDescent="0.35">
      <c r="B21" s="430" t="s">
        <v>188</v>
      </c>
      <c r="C21" s="431"/>
      <c r="D21" s="523">
        <f>SUM(D18:D20)</f>
        <v>401280</v>
      </c>
      <c r="E21" s="523">
        <f t="shared" ref="E21:AB21" si="1">SUM(E18:E20)</f>
        <v>405292.79999999999</v>
      </c>
      <c r="F21" s="523">
        <f t="shared" si="1"/>
        <v>409345.728</v>
      </c>
      <c r="G21" s="523">
        <f t="shared" si="1"/>
        <v>413439.18527999992</v>
      </c>
      <c r="H21" s="523">
        <f t="shared" si="1"/>
        <v>417573.57713280001</v>
      </c>
      <c r="I21" s="523">
        <f t="shared" si="1"/>
        <v>421749.31290412799</v>
      </c>
      <c r="J21" s="523">
        <f t="shared" si="1"/>
        <v>425966.80603316933</v>
      </c>
      <c r="K21" s="523">
        <f t="shared" si="1"/>
        <v>430226.47409350093</v>
      </c>
      <c r="L21" s="523">
        <f t="shared" si="1"/>
        <v>434528.73883443605</v>
      </c>
      <c r="M21" s="523">
        <f t="shared" si="1"/>
        <v>438874.02622278046</v>
      </c>
      <c r="N21" s="523">
        <f t="shared" si="1"/>
        <v>443262.76648500824</v>
      </c>
      <c r="O21" s="523">
        <f t="shared" si="1"/>
        <v>447695.39414985821</v>
      </c>
      <c r="P21" s="523">
        <f t="shared" si="1"/>
        <v>452172.34809135686</v>
      </c>
      <c r="Q21" s="523">
        <f t="shared" si="1"/>
        <v>456694.07157227036</v>
      </c>
      <c r="R21" s="523">
        <f t="shared" si="1"/>
        <v>461261.01228799322</v>
      </c>
      <c r="S21" s="523">
        <f t="shared" si="1"/>
        <v>465873.62241087295</v>
      </c>
      <c r="T21" s="523">
        <f t="shared" si="1"/>
        <v>470532.35863498179</v>
      </c>
      <c r="U21" s="523">
        <f t="shared" si="1"/>
        <v>475237.68222133163</v>
      </c>
      <c r="V21" s="523">
        <f t="shared" si="1"/>
        <v>479990.05904354498</v>
      </c>
      <c r="W21" s="523">
        <f t="shared" si="1"/>
        <v>484789.95963398041</v>
      </c>
      <c r="X21" s="523">
        <f t="shared" si="1"/>
        <v>489637.8592303202</v>
      </c>
      <c r="Y21" s="523">
        <f t="shared" si="1"/>
        <v>494534.23782262334</v>
      </c>
      <c r="Z21" s="523">
        <f t="shared" si="1"/>
        <v>499479.58020084968</v>
      </c>
      <c r="AA21" s="523">
        <f t="shared" si="1"/>
        <v>504474.37600285816</v>
      </c>
      <c r="AB21" s="524">
        <f t="shared" si="1"/>
        <v>509519.1197628869</v>
      </c>
    </row>
  </sheetData>
  <mergeCells count="3">
    <mergeCell ref="B2:F2"/>
    <mergeCell ref="B4:F4"/>
    <mergeCell ref="B16:C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5964-B117-4440-8619-C5C0F46D927B}">
  <dimension ref="B2:AF21"/>
  <sheetViews>
    <sheetView workbookViewId="0">
      <selection activeCell="E13" sqref="E13"/>
    </sheetView>
  </sheetViews>
  <sheetFormatPr defaultColWidth="11.44140625" defaultRowHeight="14.4" x14ac:dyDescent="0.3"/>
  <cols>
    <col min="1" max="1" width="3.77734375" customWidth="1"/>
    <col min="2" max="2" width="27.77734375" customWidth="1"/>
    <col min="3" max="3" width="18.21875" bestFit="1" customWidth="1"/>
    <col min="4" max="4" width="16.21875" customWidth="1"/>
    <col min="5" max="5" width="18.44140625" customWidth="1"/>
    <col min="6" max="6" width="16.21875" customWidth="1"/>
    <col min="7" max="7" width="13.21875" bestFit="1" customWidth="1"/>
    <col min="8" max="8" width="15.5546875" customWidth="1"/>
    <col min="9" max="9" width="17.77734375" customWidth="1"/>
    <col min="10" max="10" width="16.44140625" customWidth="1"/>
    <col min="11" max="11" width="17.77734375" customWidth="1"/>
    <col min="12" max="12" width="17.44140625" customWidth="1"/>
    <col min="13" max="13" width="15.21875" customWidth="1"/>
    <col min="14" max="14" width="15" customWidth="1"/>
    <col min="15" max="15" width="17.77734375" customWidth="1"/>
    <col min="16" max="16" width="18.44140625" customWidth="1"/>
    <col min="17" max="17" width="18.77734375" customWidth="1"/>
    <col min="18" max="18" width="16.21875" customWidth="1"/>
    <col min="19" max="19" width="17.21875" bestFit="1" customWidth="1"/>
    <col min="20" max="20" width="18.5546875" bestFit="1" customWidth="1"/>
    <col min="21" max="21" width="19.77734375" customWidth="1"/>
    <col min="22" max="36" width="16.21875" customWidth="1"/>
  </cols>
  <sheetData>
    <row r="2" spans="2:32" ht="17.399999999999999" x14ac:dyDescent="0.3">
      <c r="B2" s="552" t="s">
        <v>180</v>
      </c>
      <c r="C2" s="552"/>
      <c r="D2" s="552"/>
      <c r="E2" s="552"/>
      <c r="F2" s="552"/>
      <c r="G2" s="432"/>
      <c r="H2" s="432"/>
    </row>
    <row r="3" spans="2:32" ht="18" thickBot="1" x14ac:dyDescent="0.35">
      <c r="B3" s="410"/>
      <c r="C3" s="410"/>
      <c r="D3" s="410"/>
      <c r="E3" s="410"/>
      <c r="F3" s="410"/>
    </row>
    <row r="4" spans="2:32" s="1" customFormat="1" ht="18.600000000000001" customHeight="1" thickBot="1" x14ac:dyDescent="0.3">
      <c r="B4" s="553" t="s">
        <v>198</v>
      </c>
      <c r="C4" s="554"/>
      <c r="D4" s="554"/>
      <c r="E4" s="554"/>
      <c r="F4" s="555"/>
      <c r="G4" s="411"/>
      <c r="H4" s="411"/>
      <c r="I4" s="411"/>
      <c r="J4" s="2"/>
      <c r="K4" s="2"/>
      <c r="L4" s="2"/>
    </row>
    <row r="5" spans="2:32" s="1" customFormat="1" ht="21.75" customHeight="1" thickBot="1" x14ac:dyDescent="0.35">
      <c r="B5" s="395" t="s">
        <v>0</v>
      </c>
      <c r="C5" s="396" t="s">
        <v>128</v>
      </c>
      <c r="D5" s="395" t="s">
        <v>129</v>
      </c>
      <c r="E5" s="395" t="s">
        <v>181</v>
      </c>
      <c r="F5" s="412" t="s">
        <v>182</v>
      </c>
      <c r="H5" s="58"/>
      <c r="I5" s="62"/>
      <c r="J5" s="33"/>
      <c r="K5" s="2"/>
      <c r="L5" s="2"/>
    </row>
    <row r="6" spans="2:32" s="1" customFormat="1" ht="15" thickBot="1" x14ac:dyDescent="0.35">
      <c r="B6" s="437" t="s">
        <v>183</v>
      </c>
      <c r="C6" s="397">
        <v>0.7</v>
      </c>
      <c r="D6" s="398">
        <v>0.2</v>
      </c>
      <c r="E6" s="399">
        <v>0.1</v>
      </c>
      <c r="F6" s="436"/>
      <c r="H6" s="58"/>
      <c r="I6" s="62"/>
      <c r="J6" s="33"/>
      <c r="K6" s="2"/>
      <c r="L6" s="2"/>
    </row>
    <row r="7" spans="2:32" s="1" customFormat="1" x14ac:dyDescent="0.3">
      <c r="B7" s="433"/>
      <c r="C7" s="401"/>
      <c r="D7" s="402" t="s">
        <v>0</v>
      </c>
      <c r="E7" s="401"/>
      <c r="F7" s="434"/>
      <c r="H7" s="58"/>
      <c r="I7" s="62"/>
      <c r="J7" s="33"/>
      <c r="K7" s="2"/>
      <c r="L7" s="2"/>
    </row>
    <row r="8" spans="2:32" s="1" customFormat="1" x14ac:dyDescent="0.3">
      <c r="B8" s="400" t="s">
        <v>184</v>
      </c>
      <c r="C8" s="475">
        <f>50*20*30</f>
        <v>30000</v>
      </c>
      <c r="D8" s="476">
        <f>25*20*10</f>
        <v>5000</v>
      </c>
      <c r="E8" s="476">
        <f>(C8+D8)*E6</f>
        <v>3500</v>
      </c>
      <c r="F8" s="477">
        <f>SUM(C8:E8)</f>
        <v>38500</v>
      </c>
      <c r="H8" s="58"/>
      <c r="I8" s="62"/>
      <c r="J8" s="33"/>
      <c r="K8" s="2"/>
      <c r="L8" s="2"/>
    </row>
    <row r="9" spans="2:32" s="1" customFormat="1" ht="15.6" customHeight="1" x14ac:dyDescent="0.3">
      <c r="B9" s="435"/>
      <c r="C9" s="478"/>
      <c r="D9" s="479"/>
      <c r="E9" s="479"/>
      <c r="F9" s="480"/>
      <c r="H9" s="58"/>
      <c r="I9" s="62"/>
      <c r="J9" s="33"/>
      <c r="K9" s="2"/>
      <c r="L9" s="2"/>
    </row>
    <row r="10" spans="2:32" s="1" customFormat="1" ht="15" customHeight="1" x14ac:dyDescent="0.3">
      <c r="B10" s="403"/>
      <c r="C10" s="481"/>
      <c r="D10" s="479"/>
      <c r="E10" s="479"/>
      <c r="F10" s="480"/>
      <c r="H10" s="58"/>
      <c r="I10" s="59"/>
      <c r="J10" s="2"/>
      <c r="K10" s="2"/>
      <c r="L10" s="2"/>
    </row>
    <row r="11" spans="2:32" s="1" customFormat="1" ht="15" customHeight="1" thickBot="1" x14ac:dyDescent="0.35">
      <c r="B11" s="404" t="s">
        <v>185</v>
      </c>
      <c r="C11" s="482">
        <f>C8*12</f>
        <v>360000</v>
      </c>
      <c r="D11" s="482">
        <f>D8*12</f>
        <v>60000</v>
      </c>
      <c r="E11" s="482">
        <f>E8*12</f>
        <v>42000</v>
      </c>
      <c r="F11" s="483">
        <f>+E11+D11+C11</f>
        <v>462000</v>
      </c>
      <c r="H11" s="58"/>
      <c r="I11" s="59"/>
      <c r="J11" s="2"/>
      <c r="K11" s="2"/>
      <c r="L11" s="2"/>
    </row>
    <row r="12" spans="2:32" s="1" customFormat="1" x14ac:dyDescent="0.3">
      <c r="B12" s="268"/>
      <c r="C12" s="405"/>
      <c r="D12" s="406"/>
      <c r="E12" s="407" t="s">
        <v>0</v>
      </c>
      <c r="F12" s="407"/>
      <c r="G12" s="44"/>
      <c r="H12" s="44"/>
      <c r="I12" s="44"/>
      <c r="J12" s="44"/>
      <c r="K12" s="44"/>
      <c r="L12" s="44"/>
      <c r="M12" s="44"/>
      <c r="N12" s="49"/>
      <c r="O12" s="293"/>
      <c r="P12" s="51"/>
      <c r="Q12" s="45"/>
      <c r="R12" s="45"/>
      <c r="S12" s="45"/>
      <c r="T12" s="34"/>
      <c r="U12" s="31"/>
      <c r="V12" s="50"/>
      <c r="W12" s="2"/>
      <c r="X12" s="2"/>
      <c r="Y12" s="2"/>
    </row>
    <row r="15" spans="2:32" ht="15" customHeight="1" thickBot="1" x14ac:dyDescent="0.35"/>
    <row r="16" spans="2:32" s="11" customFormat="1" ht="30.75" customHeight="1" x14ac:dyDescent="0.3">
      <c r="B16" s="550" t="s">
        <v>186</v>
      </c>
      <c r="C16" s="551"/>
      <c r="D16" s="36">
        <v>1</v>
      </c>
      <c r="E16" s="36">
        <f>D16+1</f>
        <v>2</v>
      </c>
      <c r="F16" s="36">
        <f t="shared" ref="F16:AB16" si="0">E16+1</f>
        <v>3</v>
      </c>
      <c r="G16" s="36">
        <f t="shared" si="0"/>
        <v>4</v>
      </c>
      <c r="H16" s="36">
        <f t="shared" si="0"/>
        <v>5</v>
      </c>
      <c r="I16" s="36">
        <f t="shared" si="0"/>
        <v>6</v>
      </c>
      <c r="J16" s="36">
        <f t="shared" si="0"/>
        <v>7</v>
      </c>
      <c r="K16" s="36">
        <f>J16+1</f>
        <v>8</v>
      </c>
      <c r="L16" s="36">
        <f t="shared" si="0"/>
        <v>9</v>
      </c>
      <c r="M16" s="36">
        <f t="shared" si="0"/>
        <v>10</v>
      </c>
      <c r="N16" s="36">
        <f t="shared" si="0"/>
        <v>11</v>
      </c>
      <c r="O16" s="36">
        <f t="shared" si="0"/>
        <v>12</v>
      </c>
      <c r="P16" s="36">
        <f t="shared" si="0"/>
        <v>13</v>
      </c>
      <c r="Q16" s="36">
        <f t="shared" si="0"/>
        <v>14</v>
      </c>
      <c r="R16" s="36">
        <f t="shared" si="0"/>
        <v>15</v>
      </c>
      <c r="S16" s="36">
        <f>R16+1</f>
        <v>16</v>
      </c>
      <c r="T16" s="36">
        <f>S16+1</f>
        <v>17</v>
      </c>
      <c r="U16" s="36">
        <f t="shared" si="0"/>
        <v>18</v>
      </c>
      <c r="V16" s="36">
        <f t="shared" si="0"/>
        <v>19</v>
      </c>
      <c r="W16" s="37">
        <f t="shared" si="0"/>
        <v>20</v>
      </c>
      <c r="X16" s="37">
        <f t="shared" si="0"/>
        <v>21</v>
      </c>
      <c r="Y16" s="37">
        <f t="shared" si="0"/>
        <v>22</v>
      </c>
      <c r="Z16" s="37">
        <f t="shared" si="0"/>
        <v>23</v>
      </c>
      <c r="AA16" s="408">
        <f t="shared" si="0"/>
        <v>24</v>
      </c>
      <c r="AB16" s="409">
        <f t="shared" si="0"/>
        <v>25</v>
      </c>
      <c r="AC16" s="1"/>
      <c r="AD16" s="1"/>
      <c r="AE16" s="1"/>
      <c r="AF16" s="1"/>
    </row>
    <row r="17" spans="2:28" ht="30.75" customHeight="1" x14ac:dyDescent="0.3">
      <c r="B17" s="380" t="s">
        <v>132</v>
      </c>
      <c r="D17" s="441">
        <v>1</v>
      </c>
      <c r="E17" s="441">
        <v>1</v>
      </c>
      <c r="F17" s="441">
        <v>1</v>
      </c>
      <c r="G17" s="441">
        <v>1</v>
      </c>
      <c r="H17" s="441">
        <v>1</v>
      </c>
      <c r="I17" s="441">
        <v>1</v>
      </c>
      <c r="J17" s="441">
        <v>1</v>
      </c>
      <c r="K17" s="441">
        <v>1</v>
      </c>
      <c r="L17" s="441">
        <v>1</v>
      </c>
      <c r="M17" s="441">
        <v>1</v>
      </c>
      <c r="N17" s="441">
        <v>1</v>
      </c>
      <c r="O17" s="441">
        <v>1</v>
      </c>
      <c r="P17" s="441">
        <v>1</v>
      </c>
      <c r="Q17" s="441">
        <v>1</v>
      </c>
      <c r="R17" s="441">
        <v>1</v>
      </c>
      <c r="S17" s="441">
        <v>1</v>
      </c>
      <c r="T17" s="441">
        <v>1</v>
      </c>
      <c r="U17" s="441">
        <v>1</v>
      </c>
      <c r="V17" s="441">
        <v>1</v>
      </c>
      <c r="W17" s="441">
        <v>1</v>
      </c>
      <c r="X17" s="441">
        <v>1</v>
      </c>
      <c r="Y17" s="441">
        <v>1</v>
      </c>
      <c r="Z17" s="441">
        <v>1</v>
      </c>
      <c r="AA17" s="441">
        <v>1</v>
      </c>
      <c r="AB17" s="441">
        <v>1</v>
      </c>
    </row>
    <row r="18" spans="2:28" x14ac:dyDescent="0.3">
      <c r="B18" s="415" t="s">
        <v>187</v>
      </c>
      <c r="D18" s="522">
        <f>+C11*D17</f>
        <v>360000</v>
      </c>
      <c r="E18" s="522">
        <f>+$D$18*E17*(1+'SITE Model - INPUT PARAMETERS'!$C$29)^(E$16-1)</f>
        <v>363600</v>
      </c>
      <c r="F18" s="522">
        <f>+$D$18*F17*(1+'SITE Model - INPUT PARAMETERS'!$C$29)^(F$16-1)</f>
        <v>367236</v>
      </c>
      <c r="G18" s="522">
        <f>+$D$18*G17*(1+'SITE Model - INPUT PARAMETERS'!$C$29)^(G$16-1)</f>
        <v>370908.36</v>
      </c>
      <c r="H18" s="522">
        <f>+$D$18*H17*(1+'SITE Model - INPUT PARAMETERS'!$C$29)^(H$16-1)</f>
        <v>374617.4436</v>
      </c>
      <c r="I18" s="522">
        <f>+$D$18*I17*(1+'SITE Model - INPUT PARAMETERS'!$C$29)^(I$16-1)</f>
        <v>378363.618036</v>
      </c>
      <c r="J18" s="522">
        <f>+$D$18*J17*(1+'SITE Model - INPUT PARAMETERS'!$C$29)^(J$16-1)</f>
        <v>382147.25421636004</v>
      </c>
      <c r="K18" s="522">
        <f>+$D$18*K17*(1+'SITE Model - INPUT PARAMETERS'!$C$29)^(K$16-1)</f>
        <v>385968.72675852355</v>
      </c>
      <c r="L18" s="522">
        <f>+$D$18*L17*(1+'SITE Model - INPUT PARAMETERS'!$C$29)^(L$16-1)</f>
        <v>389828.41402610886</v>
      </c>
      <c r="M18" s="522">
        <f>+$D$18*M17*(1+'SITE Model - INPUT PARAMETERS'!$C$29)^(M$16-1)</f>
        <v>393726.69816636998</v>
      </c>
      <c r="N18" s="522">
        <f>+$D$18*N17*(1+'SITE Model - INPUT PARAMETERS'!$C$29)^(N$16-1)</f>
        <v>397663.96514803369</v>
      </c>
      <c r="O18" s="522">
        <f>+$D$18*O17*(1+'SITE Model - INPUT PARAMETERS'!$C$29)^(O$16-1)</f>
        <v>401640.60479951394</v>
      </c>
      <c r="P18" s="522">
        <f>+$D$18*P17*(1+'SITE Model - INPUT PARAMETERS'!$C$29)^(P$16-1)</f>
        <v>405657.01084750914</v>
      </c>
      <c r="Q18" s="522">
        <f>+$D$18*Q17*(1+'SITE Model - INPUT PARAMETERS'!$C$29)^(Q$16-1)</f>
        <v>409713.58095598425</v>
      </c>
      <c r="R18" s="522">
        <f>+$D$18*R17*(1+'SITE Model - INPUT PARAMETERS'!$C$29)^(R$16-1)</f>
        <v>413810.71676554414</v>
      </c>
      <c r="S18" s="522">
        <f>+$D$18*S17*(1+'SITE Model - INPUT PARAMETERS'!$C$29)^(S$16-1)</f>
        <v>417948.82393319946</v>
      </c>
      <c r="T18" s="522">
        <f>+$D$18*T17*(1+'SITE Model - INPUT PARAMETERS'!$C$29)^(T$16-1)</f>
        <v>422128.31217253156</v>
      </c>
      <c r="U18" s="522">
        <f>+$D$18*U17*(1+'SITE Model - INPUT PARAMETERS'!$C$29)^(U$16-1)</f>
        <v>426349.59529425693</v>
      </c>
      <c r="V18" s="522">
        <f>+$D$18*V17*(1+'SITE Model - INPUT PARAMETERS'!$C$29)^(V$16-1)</f>
        <v>430613.09124719951</v>
      </c>
      <c r="W18" s="522">
        <f>+$D$18*W17*(1+'SITE Model - INPUT PARAMETERS'!$C$29)^(W$16-1)</f>
        <v>434919.22215967136</v>
      </c>
      <c r="X18" s="522">
        <f>+$D$18*X17*(1+'SITE Model - INPUT PARAMETERS'!$C$29)^(X$16-1)</f>
        <v>439268.41438126814</v>
      </c>
      <c r="Y18" s="522">
        <f>+$D$18*Y17*(1+'SITE Model - INPUT PARAMETERS'!$C$29)^(Y$16-1)</f>
        <v>443661.09852508077</v>
      </c>
      <c r="Z18" s="522">
        <f>+$D$18*Z17*(1+'SITE Model - INPUT PARAMETERS'!$C$29)^(Z$16-1)</f>
        <v>448097.70951033168</v>
      </c>
      <c r="AA18" s="522">
        <f>+$D$18*AA17*(1+'SITE Model - INPUT PARAMETERS'!$C$29)^(AA$16-1)</f>
        <v>452578.68660543492</v>
      </c>
      <c r="AB18" s="522">
        <f>+$D$18*AB17*(1+'SITE Model - INPUT PARAMETERS'!$C$29)^(AB$16-1)</f>
        <v>457104.47347148939</v>
      </c>
    </row>
    <row r="19" spans="2:28" x14ac:dyDescent="0.3">
      <c r="B19" s="415" t="s">
        <v>129</v>
      </c>
      <c r="D19" s="522">
        <f>+D11*D17</f>
        <v>60000</v>
      </c>
      <c r="E19" s="522">
        <f>+$D$19*E17*(1+'SITE Model - INPUT PARAMETERS'!$C$29)^(E$16-1)</f>
        <v>60600</v>
      </c>
      <c r="F19" s="522">
        <f>+$D$19*F17*(1+'SITE Model - INPUT PARAMETERS'!$C$29)^(F$16-1)</f>
        <v>61206</v>
      </c>
      <c r="G19" s="522">
        <f>+$D$19*G17*(1+'SITE Model - INPUT PARAMETERS'!$C$29)^(G$16-1)</f>
        <v>61818.06</v>
      </c>
      <c r="H19" s="522">
        <f>+$D$19*H17*(1+'SITE Model - INPUT PARAMETERS'!$C$29)^(H$16-1)</f>
        <v>62436.240600000005</v>
      </c>
      <c r="I19" s="522">
        <f>+$D$19*I17*(1+'SITE Model - INPUT PARAMETERS'!$C$29)^(I$16-1)</f>
        <v>63060.603005999998</v>
      </c>
      <c r="J19" s="522">
        <f>+$D$19*J17*(1+'SITE Model - INPUT PARAMETERS'!$C$29)^(J$16-1)</f>
        <v>63691.209036060005</v>
      </c>
      <c r="K19" s="522">
        <f>+$D$19*K17*(1+'SITE Model - INPUT PARAMETERS'!$C$29)^(K$16-1)</f>
        <v>64328.121126420592</v>
      </c>
      <c r="L19" s="522">
        <f>+$D$19*L17*(1+'SITE Model - INPUT PARAMETERS'!$C$29)^(L$16-1)</f>
        <v>64971.402337684813</v>
      </c>
      <c r="M19" s="522">
        <f>+$D$19*M17*(1+'SITE Model - INPUT PARAMETERS'!$C$29)^(M$16-1)</f>
        <v>65621.116361061664</v>
      </c>
      <c r="N19" s="522">
        <f>+$D$19*N17*(1+'SITE Model - INPUT PARAMETERS'!$C$29)^(N$16-1)</f>
        <v>66277.327524672291</v>
      </c>
      <c r="O19" s="522">
        <f>+$D$19*O17*(1+'SITE Model - INPUT PARAMETERS'!$C$29)^(O$16-1)</f>
        <v>66940.10079991899</v>
      </c>
      <c r="P19" s="522">
        <f>+$D$19*P17*(1+'SITE Model - INPUT PARAMETERS'!$C$29)^(P$16-1)</f>
        <v>67609.50180791819</v>
      </c>
      <c r="Q19" s="522">
        <f>+$D$19*Q17*(1+'SITE Model - INPUT PARAMETERS'!$C$29)^(Q$16-1)</f>
        <v>68285.596825997374</v>
      </c>
      <c r="R19" s="522">
        <f>+$D$19*R17*(1+'SITE Model - INPUT PARAMETERS'!$C$29)^(R$16-1)</f>
        <v>68968.452794257348</v>
      </c>
      <c r="S19" s="522">
        <f>+$D$19*S17*(1+'SITE Model - INPUT PARAMETERS'!$C$29)^(S$16-1)</f>
        <v>69658.137322199909</v>
      </c>
      <c r="T19" s="522">
        <f>+$D$19*T17*(1+'SITE Model - INPUT PARAMETERS'!$C$29)^(T$16-1)</f>
        <v>70354.718695421921</v>
      </c>
      <c r="U19" s="522">
        <f>+$D$19*U17*(1+'SITE Model - INPUT PARAMETERS'!$C$29)^(U$16-1)</f>
        <v>71058.265882376145</v>
      </c>
      <c r="V19" s="522">
        <f>+$D$19*V17*(1+'SITE Model - INPUT PARAMETERS'!$C$29)^(V$16-1)</f>
        <v>71768.848541199914</v>
      </c>
      <c r="W19" s="522">
        <f>+$D$19*W17*(1+'SITE Model - INPUT PARAMETERS'!$C$29)^(W$16-1)</f>
        <v>72486.537026611899</v>
      </c>
      <c r="X19" s="522">
        <f>+$D$19*X17*(1+'SITE Model - INPUT PARAMETERS'!$C$29)^(X$16-1)</f>
        <v>73211.402396878024</v>
      </c>
      <c r="Y19" s="522">
        <f>+$D$19*Y17*(1+'SITE Model - INPUT PARAMETERS'!$C$29)^(Y$16-1)</f>
        <v>73943.51642084679</v>
      </c>
      <c r="Z19" s="522">
        <f>+$D$19*Z17*(1+'SITE Model - INPUT PARAMETERS'!$C$29)^(Z$16-1)</f>
        <v>74682.951585055285</v>
      </c>
      <c r="AA19" s="522">
        <f>+$D$19*AA17*(1+'SITE Model - INPUT PARAMETERS'!$C$29)^(AA$16-1)</f>
        <v>75429.78110090582</v>
      </c>
      <c r="AB19" s="522">
        <f>+$D$19*AB17*(1+'SITE Model - INPUT PARAMETERS'!$C$29)^(AB$16-1)</f>
        <v>76184.078911914898</v>
      </c>
    </row>
    <row r="20" spans="2:28" ht="15" thickBot="1" x14ac:dyDescent="0.35">
      <c r="B20" s="415" t="s">
        <v>130</v>
      </c>
      <c r="D20" s="522">
        <f>+E11*D17</f>
        <v>42000</v>
      </c>
      <c r="E20" s="522">
        <f>+$D$20*E17*(1+'SITE Model - INPUT PARAMETERS'!$C$29)^(E$16-1)</f>
        <v>42420</v>
      </c>
      <c r="F20" s="522">
        <f>+$D$20*F17*(1+'SITE Model - INPUT PARAMETERS'!$C$29)^(F$16-1)</f>
        <v>42844.2</v>
      </c>
      <c r="G20" s="522">
        <f>+$D$20*G17*(1+'SITE Model - INPUT PARAMETERS'!$C$29)^(G$16-1)</f>
        <v>43272.642</v>
      </c>
      <c r="H20" s="522">
        <f>+$D$20*H17*(1+'SITE Model - INPUT PARAMETERS'!$C$29)^(H$16-1)</f>
        <v>43705.368419999999</v>
      </c>
      <c r="I20" s="522">
        <f>+$D$20*I17*(1+'SITE Model - INPUT PARAMETERS'!$C$29)^(I$16-1)</f>
        <v>44142.422104199999</v>
      </c>
      <c r="J20" s="522">
        <f>+$D$20*J17*(1+'SITE Model - INPUT PARAMETERS'!$C$29)^(J$16-1)</f>
        <v>44583.846325242004</v>
      </c>
      <c r="K20" s="522">
        <f>+$D$20*K17*(1+'SITE Model - INPUT PARAMETERS'!$C$29)^(K$16-1)</f>
        <v>45029.684788494415</v>
      </c>
      <c r="L20" s="522">
        <f>+$D$20*L17*(1+'SITE Model - INPUT PARAMETERS'!$C$29)^(L$16-1)</f>
        <v>45479.981636379373</v>
      </c>
      <c r="M20" s="522">
        <f>+$D$20*M17*(1+'SITE Model - INPUT PARAMETERS'!$C$29)^(M$16-1)</f>
        <v>45934.781452743169</v>
      </c>
      <c r="N20" s="522">
        <f>+$D$20*N17*(1+'SITE Model - INPUT PARAMETERS'!$C$29)^(N$16-1)</f>
        <v>46394.129267270597</v>
      </c>
      <c r="O20" s="522">
        <f>+$D$20*O17*(1+'SITE Model - INPUT PARAMETERS'!$C$29)^(O$16-1)</f>
        <v>46858.070559943299</v>
      </c>
      <c r="P20" s="522">
        <f>+$D$20*P17*(1+'SITE Model - INPUT PARAMETERS'!$C$29)^(P$16-1)</f>
        <v>47326.651265542729</v>
      </c>
      <c r="Q20" s="522">
        <f>+$D$20*Q17*(1+'SITE Model - INPUT PARAMETERS'!$C$29)^(Q$16-1)</f>
        <v>47799.917778198156</v>
      </c>
      <c r="R20" s="522">
        <f>+$D$20*R17*(1+'SITE Model - INPUT PARAMETERS'!$C$29)^(R$16-1)</f>
        <v>48277.916955980145</v>
      </c>
      <c r="S20" s="522">
        <f>+$D$20*S17*(1+'SITE Model - INPUT PARAMETERS'!$C$29)^(S$16-1)</f>
        <v>48760.696125539936</v>
      </c>
      <c r="T20" s="522">
        <f>+$D$20*T17*(1+'SITE Model - INPUT PARAMETERS'!$C$29)^(T$16-1)</f>
        <v>49248.303086795349</v>
      </c>
      <c r="U20" s="522">
        <f>+$D$20*U17*(1+'SITE Model - INPUT PARAMETERS'!$C$29)^(U$16-1)</f>
        <v>49740.786117663309</v>
      </c>
      <c r="V20" s="522">
        <f>+$D$20*V17*(1+'SITE Model - INPUT PARAMETERS'!$C$29)^(V$16-1)</f>
        <v>50238.19397883994</v>
      </c>
      <c r="W20" s="522">
        <f>+$D$20*W17*(1+'SITE Model - INPUT PARAMETERS'!$C$29)^(W$16-1)</f>
        <v>50740.575918628325</v>
      </c>
      <c r="X20" s="522">
        <f>+$D$20*X17*(1+'SITE Model - INPUT PARAMETERS'!$C$29)^(X$16-1)</f>
        <v>51247.981677814612</v>
      </c>
      <c r="Y20" s="522">
        <f>+$D$20*Y17*(1+'SITE Model - INPUT PARAMETERS'!$C$29)^(Y$16-1)</f>
        <v>51760.461494592753</v>
      </c>
      <c r="Z20" s="522">
        <f>+$D$20*Z17*(1+'SITE Model - INPUT PARAMETERS'!$C$29)^(Z$16-1)</f>
        <v>52278.066109538697</v>
      </c>
      <c r="AA20" s="522">
        <f>+$D$20*AA17*(1+'SITE Model - INPUT PARAMETERS'!$C$29)^(AA$16-1)</f>
        <v>52800.846770634074</v>
      </c>
      <c r="AB20" s="522">
        <f>+$D$20*AB17*(1+'SITE Model - INPUT PARAMETERS'!$C$29)^(AB$16-1)</f>
        <v>53328.855238340431</v>
      </c>
    </row>
    <row r="21" spans="2:28" ht="28.05" customHeight="1" thickBot="1" x14ac:dyDescent="0.35">
      <c r="B21" s="430" t="s">
        <v>188</v>
      </c>
      <c r="C21" s="431"/>
      <c r="D21" s="523">
        <f>SUM(D18:D20)</f>
        <v>462000</v>
      </c>
      <c r="E21" s="523">
        <f t="shared" ref="E21:AB21" si="1">SUM(E18:E20)</f>
        <v>466620</v>
      </c>
      <c r="F21" s="523">
        <f t="shared" si="1"/>
        <v>471286.2</v>
      </c>
      <c r="G21" s="523">
        <f t="shared" si="1"/>
        <v>475999.06199999998</v>
      </c>
      <c r="H21" s="523">
        <f t="shared" si="1"/>
        <v>480759.05262000003</v>
      </c>
      <c r="I21" s="523">
        <f t="shared" si="1"/>
        <v>485566.64314619999</v>
      </c>
      <c r="J21" s="523">
        <f t="shared" si="1"/>
        <v>490422.30957766209</v>
      </c>
      <c r="K21" s="523">
        <f t="shared" si="1"/>
        <v>495326.5326734386</v>
      </c>
      <c r="L21" s="523">
        <f t="shared" si="1"/>
        <v>500279.79800017306</v>
      </c>
      <c r="M21" s="523">
        <f t="shared" si="1"/>
        <v>505282.59598017478</v>
      </c>
      <c r="N21" s="523">
        <f t="shared" si="1"/>
        <v>510335.42193997657</v>
      </c>
      <c r="O21" s="523">
        <f t="shared" si="1"/>
        <v>515438.77615937626</v>
      </c>
      <c r="P21" s="523">
        <f t="shared" si="1"/>
        <v>520593.16392097005</v>
      </c>
      <c r="Q21" s="523">
        <f t="shared" si="1"/>
        <v>525799.09556017979</v>
      </c>
      <c r="R21" s="523">
        <f t="shared" si="1"/>
        <v>531057.08651578159</v>
      </c>
      <c r="S21" s="523">
        <f t="shared" si="1"/>
        <v>536367.65738093934</v>
      </c>
      <c r="T21" s="523">
        <f t="shared" si="1"/>
        <v>541731.33395474881</v>
      </c>
      <c r="U21" s="523">
        <f t="shared" si="1"/>
        <v>547148.6472942963</v>
      </c>
      <c r="V21" s="523">
        <f t="shared" si="1"/>
        <v>552620.1337672394</v>
      </c>
      <c r="W21" s="523">
        <f t="shared" si="1"/>
        <v>558146.33510491159</v>
      </c>
      <c r="X21" s="523">
        <f t="shared" si="1"/>
        <v>563727.79845596082</v>
      </c>
      <c r="Y21" s="523">
        <f t="shared" si="1"/>
        <v>569365.07644052035</v>
      </c>
      <c r="Z21" s="523">
        <f t="shared" si="1"/>
        <v>575058.72720492561</v>
      </c>
      <c r="AA21" s="523">
        <f t="shared" si="1"/>
        <v>580809.31447697477</v>
      </c>
      <c r="AB21" s="524">
        <f t="shared" si="1"/>
        <v>586617.40762174467</v>
      </c>
    </row>
  </sheetData>
  <mergeCells count="3">
    <mergeCell ref="B2:F2"/>
    <mergeCell ref="B4:F4"/>
    <mergeCell ref="B16:C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B54E-3F85-438F-8830-EEFE669C2A5D}">
  <dimension ref="B2:AF21"/>
  <sheetViews>
    <sheetView topLeftCell="A7" workbookViewId="0">
      <selection activeCell="D24" sqref="D24"/>
    </sheetView>
  </sheetViews>
  <sheetFormatPr defaultColWidth="11.44140625" defaultRowHeight="14.4" x14ac:dyDescent="0.3"/>
  <cols>
    <col min="1" max="1" width="3.77734375" customWidth="1"/>
    <col min="2" max="2" width="27.77734375" customWidth="1"/>
    <col min="3" max="3" width="18.21875" bestFit="1" customWidth="1"/>
    <col min="4" max="4" width="16.21875" customWidth="1"/>
    <col min="5" max="5" width="18.44140625" customWidth="1"/>
    <col min="6" max="6" width="16.21875" customWidth="1"/>
    <col min="7" max="7" width="13.21875" bestFit="1" customWidth="1"/>
    <col min="8" max="8" width="15.5546875" customWidth="1"/>
    <col min="9" max="9" width="17.77734375" customWidth="1"/>
    <col min="10" max="10" width="16.44140625" customWidth="1"/>
    <col min="11" max="11" width="17.77734375" customWidth="1"/>
    <col min="12" max="12" width="17.44140625" customWidth="1"/>
    <col min="13" max="13" width="15.21875" customWidth="1"/>
    <col min="14" max="14" width="15" customWidth="1"/>
    <col min="15" max="15" width="17.77734375" customWidth="1"/>
    <col min="16" max="16" width="18.44140625" customWidth="1"/>
    <col min="17" max="17" width="18.77734375" customWidth="1"/>
    <col min="18" max="18" width="16.21875" customWidth="1"/>
    <col min="19" max="19" width="17.21875" bestFit="1" customWidth="1"/>
    <col min="20" max="20" width="18.5546875" bestFit="1" customWidth="1"/>
    <col min="21" max="21" width="19.77734375" customWidth="1"/>
    <col min="22" max="36" width="16.21875" customWidth="1"/>
  </cols>
  <sheetData>
    <row r="2" spans="2:32" ht="17.399999999999999" x14ac:dyDescent="0.3">
      <c r="B2" s="552" t="s">
        <v>180</v>
      </c>
      <c r="C2" s="552"/>
      <c r="D2" s="552"/>
      <c r="E2" s="552"/>
      <c r="F2" s="552"/>
      <c r="G2" s="432"/>
      <c r="H2" s="432"/>
    </row>
    <row r="3" spans="2:32" ht="18" thickBot="1" x14ac:dyDescent="0.35">
      <c r="B3" s="410"/>
      <c r="C3" s="410"/>
      <c r="D3" s="410"/>
      <c r="E3" s="410"/>
      <c r="F3" s="410"/>
    </row>
    <row r="4" spans="2:32" s="1" customFormat="1" ht="18.600000000000001" customHeight="1" thickBot="1" x14ac:dyDescent="0.3">
      <c r="B4" s="553" t="s">
        <v>197</v>
      </c>
      <c r="C4" s="554"/>
      <c r="D4" s="554"/>
      <c r="E4" s="554"/>
      <c r="F4" s="555"/>
      <c r="G4" s="411"/>
      <c r="H4" s="411"/>
      <c r="I4" s="411"/>
      <c r="J4" s="2"/>
      <c r="K4" s="2"/>
      <c r="L4" s="2"/>
    </row>
    <row r="5" spans="2:32" s="1" customFormat="1" ht="21.75" customHeight="1" thickBot="1" x14ac:dyDescent="0.35">
      <c r="B5" s="395" t="s">
        <v>0</v>
      </c>
      <c r="C5" s="396" t="s">
        <v>128</v>
      </c>
      <c r="D5" s="395" t="s">
        <v>129</v>
      </c>
      <c r="E5" s="395" t="s">
        <v>181</v>
      </c>
      <c r="F5" s="412" t="s">
        <v>182</v>
      </c>
      <c r="H5" s="58"/>
      <c r="I5" s="62"/>
      <c r="J5" s="33"/>
      <c r="K5" s="2"/>
      <c r="L5" s="2"/>
    </row>
    <row r="6" spans="2:32" s="1" customFormat="1" ht="15" thickBot="1" x14ac:dyDescent="0.35">
      <c r="B6" s="437" t="s">
        <v>183</v>
      </c>
      <c r="C6" s="397">
        <v>0.7</v>
      </c>
      <c r="D6" s="398">
        <v>0.2</v>
      </c>
      <c r="E6" s="399">
        <v>0.1</v>
      </c>
      <c r="F6" s="436"/>
      <c r="H6" s="58"/>
      <c r="I6" s="62"/>
      <c r="J6" s="33"/>
      <c r="K6" s="2"/>
      <c r="L6" s="2"/>
    </row>
    <row r="7" spans="2:32" s="1" customFormat="1" x14ac:dyDescent="0.3">
      <c r="B7" s="433"/>
      <c r="C7" s="401"/>
      <c r="D7" s="402" t="s">
        <v>0</v>
      </c>
      <c r="E7" s="401"/>
      <c r="F7" s="434"/>
      <c r="H7" s="58"/>
      <c r="I7" s="62"/>
      <c r="J7" s="33"/>
      <c r="K7" s="2"/>
      <c r="L7" s="2"/>
    </row>
    <row r="8" spans="2:32" s="1" customFormat="1" x14ac:dyDescent="0.3">
      <c r="B8" s="400" t="s">
        <v>184</v>
      </c>
      <c r="C8" s="475">
        <f>80*22*40</f>
        <v>70400</v>
      </c>
      <c r="D8" s="476">
        <f>40*22*10</f>
        <v>8800</v>
      </c>
      <c r="E8" s="476">
        <f>(C8+D8)*E6</f>
        <v>7920</v>
      </c>
      <c r="F8" s="477">
        <f>SUM(C8:E8)</f>
        <v>87120</v>
      </c>
      <c r="H8" s="58"/>
      <c r="I8" s="62"/>
      <c r="J8" s="33"/>
      <c r="K8" s="2"/>
      <c r="L8" s="2"/>
    </row>
    <row r="9" spans="2:32" s="1" customFormat="1" ht="15.6" customHeight="1" x14ac:dyDescent="0.3">
      <c r="B9" s="435"/>
      <c r="C9" s="478"/>
      <c r="D9" s="479"/>
      <c r="E9" s="479"/>
      <c r="F9" s="480"/>
      <c r="H9" s="58"/>
      <c r="I9" s="62"/>
      <c r="J9" s="33"/>
      <c r="K9" s="2"/>
      <c r="L9" s="2"/>
    </row>
    <row r="10" spans="2:32" s="1" customFormat="1" ht="15" customHeight="1" x14ac:dyDescent="0.3">
      <c r="B10" s="403"/>
      <c r="C10" s="481"/>
      <c r="D10" s="479"/>
      <c r="E10" s="479"/>
      <c r="F10" s="480"/>
      <c r="H10" s="58"/>
      <c r="I10" s="59"/>
      <c r="J10" s="2"/>
      <c r="K10" s="2"/>
      <c r="L10" s="2"/>
    </row>
    <row r="11" spans="2:32" s="1" customFormat="1" ht="15" customHeight="1" thickBot="1" x14ac:dyDescent="0.35">
      <c r="B11" s="404" t="s">
        <v>185</v>
      </c>
      <c r="C11" s="482">
        <f>C8*12</f>
        <v>844800</v>
      </c>
      <c r="D11" s="482">
        <f>D8*12</f>
        <v>105600</v>
      </c>
      <c r="E11" s="482">
        <f>E8*12</f>
        <v>95040</v>
      </c>
      <c r="F11" s="483">
        <f>+E11+D11+C11</f>
        <v>1045440</v>
      </c>
      <c r="H11" s="58"/>
      <c r="I11" s="59"/>
      <c r="J11" s="2"/>
      <c r="K11" s="2"/>
      <c r="L11" s="2"/>
    </row>
    <row r="12" spans="2:32" s="1" customFormat="1" x14ac:dyDescent="0.3">
      <c r="B12" s="268"/>
      <c r="C12" s="405"/>
      <c r="D12" s="406"/>
      <c r="E12" s="407" t="s">
        <v>0</v>
      </c>
      <c r="F12" s="407"/>
      <c r="G12" s="44"/>
      <c r="H12" s="44"/>
      <c r="I12" s="44"/>
      <c r="J12" s="44"/>
      <c r="K12" s="44"/>
      <c r="L12" s="44"/>
      <c r="M12" s="44"/>
      <c r="N12" s="49"/>
      <c r="O12" s="293"/>
      <c r="P12" s="51"/>
      <c r="Q12" s="45"/>
      <c r="R12" s="45"/>
      <c r="S12" s="45"/>
      <c r="T12" s="34"/>
      <c r="U12" s="31"/>
      <c r="V12" s="50"/>
      <c r="W12" s="2"/>
      <c r="X12" s="2"/>
      <c r="Y12" s="2"/>
    </row>
    <row r="15" spans="2:32" ht="15" customHeight="1" thickBot="1" x14ac:dyDescent="0.35"/>
    <row r="16" spans="2:32" s="11" customFormat="1" ht="30.75" customHeight="1" x14ac:dyDescent="0.3">
      <c r="B16" s="550" t="s">
        <v>186</v>
      </c>
      <c r="C16" s="551"/>
      <c r="D16" s="36">
        <v>1</v>
      </c>
      <c r="E16" s="36">
        <f>D16+1</f>
        <v>2</v>
      </c>
      <c r="F16" s="36">
        <f t="shared" ref="F16:AB16" si="0">E16+1</f>
        <v>3</v>
      </c>
      <c r="G16" s="36">
        <f t="shared" si="0"/>
        <v>4</v>
      </c>
      <c r="H16" s="36">
        <f t="shared" si="0"/>
        <v>5</v>
      </c>
      <c r="I16" s="36">
        <f t="shared" si="0"/>
        <v>6</v>
      </c>
      <c r="J16" s="36">
        <f t="shared" si="0"/>
        <v>7</v>
      </c>
      <c r="K16" s="36">
        <f>J16+1</f>
        <v>8</v>
      </c>
      <c r="L16" s="36">
        <f t="shared" si="0"/>
        <v>9</v>
      </c>
      <c r="M16" s="36">
        <f t="shared" si="0"/>
        <v>10</v>
      </c>
      <c r="N16" s="36">
        <f t="shared" si="0"/>
        <v>11</v>
      </c>
      <c r="O16" s="36">
        <f t="shared" si="0"/>
        <v>12</v>
      </c>
      <c r="P16" s="36">
        <f t="shared" si="0"/>
        <v>13</v>
      </c>
      <c r="Q16" s="36">
        <f t="shared" si="0"/>
        <v>14</v>
      </c>
      <c r="R16" s="36">
        <f t="shared" si="0"/>
        <v>15</v>
      </c>
      <c r="S16" s="36">
        <f>R16+1</f>
        <v>16</v>
      </c>
      <c r="T16" s="36">
        <f>S16+1</f>
        <v>17</v>
      </c>
      <c r="U16" s="36">
        <f t="shared" si="0"/>
        <v>18</v>
      </c>
      <c r="V16" s="36">
        <f t="shared" si="0"/>
        <v>19</v>
      </c>
      <c r="W16" s="37">
        <f t="shared" si="0"/>
        <v>20</v>
      </c>
      <c r="X16" s="37">
        <f t="shared" si="0"/>
        <v>21</v>
      </c>
      <c r="Y16" s="37">
        <f t="shared" si="0"/>
        <v>22</v>
      </c>
      <c r="Z16" s="37">
        <f t="shared" si="0"/>
        <v>23</v>
      </c>
      <c r="AA16" s="408">
        <f t="shared" si="0"/>
        <v>24</v>
      </c>
      <c r="AB16" s="409">
        <f t="shared" si="0"/>
        <v>25</v>
      </c>
      <c r="AC16" s="1"/>
      <c r="AD16" s="1"/>
      <c r="AE16" s="1"/>
      <c r="AF16" s="1"/>
    </row>
    <row r="17" spans="2:29" ht="30.75" customHeight="1" x14ac:dyDescent="0.3">
      <c r="B17" s="380" t="s">
        <v>132</v>
      </c>
      <c r="E17" s="441">
        <v>1</v>
      </c>
      <c r="F17" s="441">
        <v>1</v>
      </c>
      <c r="G17" s="441">
        <v>1</v>
      </c>
      <c r="H17" s="441">
        <v>1</v>
      </c>
      <c r="I17" s="441">
        <v>1</v>
      </c>
      <c r="J17" s="441">
        <v>1</v>
      </c>
      <c r="K17" s="441">
        <v>1</v>
      </c>
      <c r="L17" s="441">
        <v>1</v>
      </c>
      <c r="M17" s="441">
        <v>1</v>
      </c>
      <c r="N17" s="441">
        <v>1</v>
      </c>
      <c r="O17" s="441">
        <v>1</v>
      </c>
      <c r="P17" s="441">
        <v>1</v>
      </c>
      <c r="Q17" s="441">
        <v>1</v>
      </c>
      <c r="R17" s="441">
        <v>1</v>
      </c>
      <c r="S17" s="441">
        <v>1</v>
      </c>
      <c r="T17" s="441">
        <v>1</v>
      </c>
      <c r="U17" s="441">
        <v>1</v>
      </c>
      <c r="V17" s="441">
        <v>1</v>
      </c>
      <c r="W17" s="441">
        <v>1</v>
      </c>
      <c r="X17" s="441">
        <v>1</v>
      </c>
      <c r="Y17" s="441">
        <v>1</v>
      </c>
      <c r="Z17" s="441">
        <v>1</v>
      </c>
      <c r="AA17" s="441">
        <v>1</v>
      </c>
      <c r="AB17" s="441">
        <v>1</v>
      </c>
      <c r="AC17" s="441">
        <v>1</v>
      </c>
    </row>
    <row r="18" spans="2:29" x14ac:dyDescent="0.3">
      <c r="B18" s="415" t="s">
        <v>187</v>
      </c>
      <c r="E18" s="522">
        <f>+C11*E17</f>
        <v>844800</v>
      </c>
      <c r="F18" s="522">
        <f>+$E$18*F17*(1+'SITE Model - INPUT PARAMETERS'!$C$29)^(E$16-1)</f>
        <v>853248</v>
      </c>
      <c r="G18" s="522">
        <f>+$E$18*G17*(1+'SITE Model - INPUT PARAMETERS'!$C$29)^(F$16-1)</f>
        <v>861780.47999999998</v>
      </c>
      <c r="H18" s="522">
        <f>+$E$18*H17*(1+'SITE Model - INPUT PARAMETERS'!$C$29)^(G$16-1)</f>
        <v>870398.28479999991</v>
      </c>
      <c r="I18" s="522">
        <f>+$E$18*I17*(1+'SITE Model - INPUT PARAMETERS'!$C$29)^(H$16-1)</f>
        <v>879102.26764800004</v>
      </c>
      <c r="J18" s="522">
        <f>+$E$18*J17*(1+'SITE Model - INPUT PARAMETERS'!$C$29)^(I$16-1)</f>
        <v>887893.29032447992</v>
      </c>
      <c r="K18" s="522">
        <f>+$E$18*K17*(1+'SITE Model - INPUT PARAMETERS'!$C$29)^(J$16-1)</f>
        <v>896772.2232277249</v>
      </c>
      <c r="L18" s="522">
        <f>+$E$18*L17*(1+'SITE Model - INPUT PARAMETERS'!$C$29)^(K$16-1)</f>
        <v>905739.94546000194</v>
      </c>
      <c r="M18" s="522">
        <f>+$E$18*M17*(1+'SITE Model - INPUT PARAMETERS'!$C$29)^(L$16-1)</f>
        <v>914797.34491460223</v>
      </c>
      <c r="N18" s="522">
        <f>+$E$18*N17*(1+'SITE Model - INPUT PARAMETERS'!$C$29)^(M$16-1)</f>
        <v>923945.31836374826</v>
      </c>
      <c r="O18" s="522">
        <f>+$E$18*O17*(1+'SITE Model - INPUT PARAMETERS'!$C$29)^(N$16-1)</f>
        <v>933184.77154738572</v>
      </c>
      <c r="P18" s="522">
        <f>+$E$18*P17*(1+'SITE Model - INPUT PARAMETERS'!$C$29)^(O$16-1)</f>
        <v>942516.61926285946</v>
      </c>
      <c r="Q18" s="522">
        <f>+$E$18*Q17*(1+'SITE Model - INPUT PARAMETERS'!$C$29)^(P$16-1)</f>
        <v>951941.78545548802</v>
      </c>
      <c r="R18" s="522">
        <f>+$E$18*R17*(1+'SITE Model - INPUT PARAMETERS'!$C$29)^(Q$16-1)</f>
        <v>961461.20331004297</v>
      </c>
      <c r="S18" s="522">
        <f>+$E$18*S17*(1+'SITE Model - INPUT PARAMETERS'!$C$29)^(R$16-1)</f>
        <v>971075.81534314353</v>
      </c>
      <c r="T18" s="522">
        <f>+$E$18*T17*(1+'SITE Model - INPUT PARAMETERS'!$C$29)^(S$16-1)</f>
        <v>980786.57349657465</v>
      </c>
      <c r="U18" s="522">
        <f>+$E$18*U17*(1+'SITE Model - INPUT PARAMETERS'!$C$29)^(T$16-1)</f>
        <v>990594.43923154077</v>
      </c>
      <c r="V18" s="522">
        <f>+$E$18*V17*(1+'SITE Model - INPUT PARAMETERS'!$C$29)^(U$16-1)</f>
        <v>1000500.3836238562</v>
      </c>
      <c r="W18" s="522">
        <f>+$E$18*W17*(1+'SITE Model - INPUT PARAMETERS'!$C$29)^(V$16-1)</f>
        <v>1010505.3874600948</v>
      </c>
      <c r="X18" s="522">
        <f>+$E$18*X17*(1+'SITE Model - INPUT PARAMETERS'!$C$29)^(W$16-1)</f>
        <v>1020610.4413346956</v>
      </c>
      <c r="Y18" s="522">
        <f>+$E$18*Y17*(1+'SITE Model - INPUT PARAMETERS'!$C$29)^(X$16-1)</f>
        <v>1030816.5457480425</v>
      </c>
      <c r="Z18" s="522">
        <f>+$E$18*Z17*(1+'SITE Model - INPUT PARAMETERS'!$C$29)^(Y$16-1)</f>
        <v>1041124.7112055229</v>
      </c>
      <c r="AA18" s="522">
        <f>+$E$18*AA17*(1+'SITE Model - INPUT PARAMETERS'!$C$29)^(Z$16-1)</f>
        <v>1051535.9583175783</v>
      </c>
      <c r="AB18" s="522">
        <f>+$E$18*AB17*(1+'SITE Model - INPUT PARAMETERS'!$C$29)^(AA$16-1)</f>
        <v>1062051.317900754</v>
      </c>
      <c r="AC18" s="522">
        <f>+$E$18*AC17*(1+'SITE Model - INPUT PARAMETERS'!$C$29)^(AB$16-1)</f>
        <v>1072671.8310797617</v>
      </c>
    </row>
    <row r="19" spans="2:29" x14ac:dyDescent="0.3">
      <c r="B19" s="415" t="s">
        <v>129</v>
      </c>
      <c r="E19" s="522">
        <f>+D11*E17</f>
        <v>105600</v>
      </c>
      <c r="F19" s="522">
        <f>+$E$19*F17*(1+'SITE Model - INPUT PARAMETERS'!$C$29)^(E$16-1)</f>
        <v>106656</v>
      </c>
      <c r="G19" s="522">
        <f>+$E$19*G17*(1+'SITE Model - INPUT PARAMETERS'!$C$29)^(F$16-1)</f>
        <v>107722.56</v>
      </c>
      <c r="H19" s="522">
        <f>+$E$19*H17*(1+'SITE Model - INPUT PARAMETERS'!$C$29)^(G$16-1)</f>
        <v>108799.78559999999</v>
      </c>
      <c r="I19" s="522">
        <f>+$E$19*I17*(1+'SITE Model - INPUT PARAMETERS'!$C$29)^(H$16-1)</f>
        <v>109887.783456</v>
      </c>
      <c r="J19" s="522">
        <f>+$E$19*J17*(1+'SITE Model - INPUT PARAMETERS'!$C$29)^(I$16-1)</f>
        <v>110986.66129055999</v>
      </c>
      <c r="K19" s="522">
        <f>+$E$19*K17*(1+'SITE Model - INPUT PARAMETERS'!$C$29)^(J$16-1)</f>
        <v>112096.52790346561</v>
      </c>
      <c r="L19" s="522">
        <f>+$E$19*L17*(1+'SITE Model - INPUT PARAMETERS'!$C$29)^(K$16-1)</f>
        <v>113217.49318250024</v>
      </c>
      <c r="M19" s="522">
        <f>+$E$19*M17*(1+'SITE Model - INPUT PARAMETERS'!$C$29)^(L$16-1)</f>
        <v>114349.66811432528</v>
      </c>
      <c r="N19" s="522">
        <f>+$E$19*N17*(1+'SITE Model - INPUT PARAMETERS'!$C$29)^(M$16-1)</f>
        <v>115493.16479546853</v>
      </c>
      <c r="O19" s="522">
        <f>+$E$19*O17*(1+'SITE Model - INPUT PARAMETERS'!$C$29)^(N$16-1)</f>
        <v>116648.09644342322</v>
      </c>
      <c r="P19" s="522">
        <f>+$E$19*P17*(1+'SITE Model - INPUT PARAMETERS'!$C$29)^(O$16-1)</f>
        <v>117814.57740785743</v>
      </c>
      <c r="Q19" s="522">
        <f>+$E$19*Q17*(1+'SITE Model - INPUT PARAMETERS'!$C$29)^(P$16-1)</f>
        <v>118992.723181936</v>
      </c>
      <c r="R19" s="522">
        <f>+$E$19*R17*(1+'SITE Model - INPUT PARAMETERS'!$C$29)^(Q$16-1)</f>
        <v>120182.65041375537</v>
      </c>
      <c r="S19" s="522">
        <f>+$E$19*S17*(1+'SITE Model - INPUT PARAMETERS'!$C$29)^(R$16-1)</f>
        <v>121384.47691789294</v>
      </c>
      <c r="T19" s="522">
        <f>+$E$19*T17*(1+'SITE Model - INPUT PARAMETERS'!$C$29)^(S$16-1)</f>
        <v>122598.32168707183</v>
      </c>
      <c r="U19" s="522">
        <f>+$E$19*U17*(1+'SITE Model - INPUT PARAMETERS'!$C$29)^(T$16-1)</f>
        <v>123824.3049039426</v>
      </c>
      <c r="V19" s="522">
        <f>+$E$19*V17*(1+'SITE Model - INPUT PARAMETERS'!$C$29)^(U$16-1)</f>
        <v>125062.54795298203</v>
      </c>
      <c r="W19" s="522">
        <f>+$E$19*W17*(1+'SITE Model - INPUT PARAMETERS'!$C$29)^(V$16-1)</f>
        <v>126313.17343251185</v>
      </c>
      <c r="X19" s="522">
        <f>+$E$19*X17*(1+'SITE Model - INPUT PARAMETERS'!$C$29)^(W$16-1)</f>
        <v>127576.30516683694</v>
      </c>
      <c r="Y19" s="522">
        <f>+$E$19*Y17*(1+'SITE Model - INPUT PARAMETERS'!$C$29)^(X$16-1)</f>
        <v>128852.06821850532</v>
      </c>
      <c r="Z19" s="522">
        <f>+$E$19*Z17*(1+'SITE Model - INPUT PARAMETERS'!$C$29)^(Y$16-1)</f>
        <v>130140.58890069036</v>
      </c>
      <c r="AA19" s="522">
        <f>+$E$19*AA17*(1+'SITE Model - INPUT PARAMETERS'!$C$29)^(Z$16-1)</f>
        <v>131441.99478969729</v>
      </c>
      <c r="AB19" s="522">
        <f>+$E$19*AB17*(1+'SITE Model - INPUT PARAMETERS'!$C$29)^(AA$16-1)</f>
        <v>132756.41473759426</v>
      </c>
      <c r="AC19" s="522">
        <f>+$E$19*AC17*(1+'SITE Model - INPUT PARAMETERS'!$C$29)^(AB$16-1)</f>
        <v>134083.97888497022</v>
      </c>
    </row>
    <row r="20" spans="2:29" ht="15" thickBot="1" x14ac:dyDescent="0.35">
      <c r="B20" s="415" t="s">
        <v>130</v>
      </c>
      <c r="E20" s="522">
        <f>+E11*E17</f>
        <v>95040</v>
      </c>
      <c r="F20" s="522">
        <f>+$E$20*F17*(1+'SITE Model - INPUT PARAMETERS'!$C$29)^(E$16-1)</f>
        <v>95990.399999999994</v>
      </c>
      <c r="G20" s="522">
        <f>+$E$20*G17*(1+'SITE Model - INPUT PARAMETERS'!$C$29)^(F$16-1)</f>
        <v>96950.304000000004</v>
      </c>
      <c r="H20" s="522">
        <f>+$E$20*H17*(1+'SITE Model - INPUT PARAMETERS'!$C$29)^(G$16-1)</f>
        <v>97919.807039999985</v>
      </c>
      <c r="I20" s="522">
        <f>+$E$20*I17*(1+'SITE Model - INPUT PARAMETERS'!$C$29)^(H$16-1)</f>
        <v>98899.005110400001</v>
      </c>
      <c r="J20" s="522">
        <f>+$E$20*J17*(1+'SITE Model - INPUT PARAMETERS'!$C$29)^(I$16-1)</f>
        <v>99887.99516150399</v>
      </c>
      <c r="K20" s="522">
        <f>+$E$20*K17*(1+'SITE Model - INPUT PARAMETERS'!$C$29)^(J$16-1)</f>
        <v>100886.87511311905</v>
      </c>
      <c r="L20" s="522">
        <f>+$E$20*L17*(1+'SITE Model - INPUT PARAMETERS'!$C$29)^(K$16-1)</f>
        <v>101895.74386425021</v>
      </c>
      <c r="M20" s="522">
        <f>+$E$20*M17*(1+'SITE Model - INPUT PARAMETERS'!$C$29)^(L$16-1)</f>
        <v>102914.70130289275</v>
      </c>
      <c r="N20" s="522">
        <f>+$E$20*N17*(1+'SITE Model - INPUT PARAMETERS'!$C$29)^(M$16-1)</f>
        <v>103943.84831592168</v>
      </c>
      <c r="O20" s="522">
        <f>+$E$20*O17*(1+'SITE Model - INPUT PARAMETERS'!$C$29)^(N$16-1)</f>
        <v>104983.2867990809</v>
      </c>
      <c r="P20" s="522">
        <f>+$E$20*P17*(1+'SITE Model - INPUT PARAMETERS'!$C$29)^(O$16-1)</f>
        <v>106033.11966707169</v>
      </c>
      <c r="Q20" s="522">
        <f>+$E$20*Q17*(1+'SITE Model - INPUT PARAMETERS'!$C$29)^(P$16-1)</f>
        <v>107093.4508637424</v>
      </c>
      <c r="R20" s="522">
        <f>+$E$20*R17*(1+'SITE Model - INPUT PARAMETERS'!$C$29)^(Q$16-1)</f>
        <v>108164.38537237984</v>
      </c>
      <c r="S20" s="522">
        <f>+$E$20*S17*(1+'SITE Model - INPUT PARAMETERS'!$C$29)^(R$16-1)</f>
        <v>109246.02922610365</v>
      </c>
      <c r="T20" s="522">
        <f>+$E$20*T17*(1+'SITE Model - INPUT PARAMETERS'!$C$29)^(S$16-1)</f>
        <v>110338.48951836466</v>
      </c>
      <c r="U20" s="522">
        <f>+$E$20*U17*(1+'SITE Model - INPUT PARAMETERS'!$C$29)^(T$16-1)</f>
        <v>111441.87441354833</v>
      </c>
      <c r="V20" s="522">
        <f>+$E$20*V17*(1+'SITE Model - INPUT PARAMETERS'!$C$29)^(U$16-1)</f>
        <v>112556.29315768382</v>
      </c>
      <c r="W20" s="522">
        <f>+$E$20*W17*(1+'SITE Model - INPUT PARAMETERS'!$C$29)^(V$16-1)</f>
        <v>113681.85608926066</v>
      </c>
      <c r="X20" s="522">
        <f>+$E$20*X17*(1+'SITE Model - INPUT PARAMETERS'!$C$29)^(W$16-1)</f>
        <v>114818.67465015325</v>
      </c>
      <c r="Y20" s="522">
        <f>+$E$20*Y17*(1+'SITE Model - INPUT PARAMETERS'!$C$29)^(X$16-1)</f>
        <v>115966.86139665479</v>
      </c>
      <c r="Z20" s="522">
        <f>+$E$20*Z17*(1+'SITE Model - INPUT PARAMETERS'!$C$29)^(Y$16-1)</f>
        <v>117126.53001062133</v>
      </c>
      <c r="AA20" s="522">
        <f>+$E$20*AA17*(1+'SITE Model - INPUT PARAMETERS'!$C$29)^(Z$16-1)</f>
        <v>118297.79531072757</v>
      </c>
      <c r="AB20" s="522">
        <f>+$E$20*AB17*(1+'SITE Model - INPUT PARAMETERS'!$C$29)^(AA$16-1)</f>
        <v>119480.77326383482</v>
      </c>
      <c r="AC20" s="522">
        <f>+$E$20*AC17*(1+'SITE Model - INPUT PARAMETERS'!$C$29)^(AB$16-1)</f>
        <v>120675.5809964732</v>
      </c>
    </row>
    <row r="21" spans="2:29" ht="28.05" customHeight="1" thickBot="1" x14ac:dyDescent="0.35">
      <c r="B21" s="430" t="s">
        <v>188</v>
      </c>
      <c r="C21" s="431"/>
      <c r="D21" s="521"/>
      <c r="E21" s="523">
        <f>SUM(E18:E20)</f>
        <v>1045440</v>
      </c>
      <c r="F21" s="523">
        <f t="shared" ref="F21:AC21" si="1">SUM(F18:F20)</f>
        <v>1055894.3999999999</v>
      </c>
      <c r="G21" s="523">
        <f t="shared" si="1"/>
        <v>1066453.344</v>
      </c>
      <c r="H21" s="523">
        <f t="shared" si="1"/>
        <v>1077117.87744</v>
      </c>
      <c r="I21" s="523">
        <f t="shared" si="1"/>
        <v>1087889.0562144001</v>
      </c>
      <c r="J21" s="523">
        <f t="shared" si="1"/>
        <v>1098767.946776544</v>
      </c>
      <c r="K21" s="523">
        <f t="shared" si="1"/>
        <v>1109755.6262443096</v>
      </c>
      <c r="L21" s="523">
        <f t="shared" si="1"/>
        <v>1120853.1825067524</v>
      </c>
      <c r="M21" s="523">
        <f t="shared" si="1"/>
        <v>1132061.7143318201</v>
      </c>
      <c r="N21" s="523">
        <f t="shared" si="1"/>
        <v>1143382.3314751384</v>
      </c>
      <c r="O21" s="523">
        <f t="shared" si="1"/>
        <v>1154816.1547898899</v>
      </c>
      <c r="P21" s="523">
        <f t="shared" si="1"/>
        <v>1166364.3163377885</v>
      </c>
      <c r="Q21" s="523">
        <f t="shared" si="1"/>
        <v>1178027.9595011666</v>
      </c>
      <c r="R21" s="523">
        <f t="shared" si="1"/>
        <v>1189808.2390961782</v>
      </c>
      <c r="S21" s="523">
        <f t="shared" si="1"/>
        <v>1201706.3214871401</v>
      </c>
      <c r="T21" s="523">
        <f t="shared" si="1"/>
        <v>1213723.3847020112</v>
      </c>
      <c r="U21" s="523">
        <f t="shared" si="1"/>
        <v>1225860.6185490317</v>
      </c>
      <c r="V21" s="523">
        <f t="shared" si="1"/>
        <v>1238119.2247345222</v>
      </c>
      <c r="W21" s="523">
        <f t="shared" si="1"/>
        <v>1250500.4169818673</v>
      </c>
      <c r="X21" s="523">
        <f t="shared" si="1"/>
        <v>1263005.4211516855</v>
      </c>
      <c r="Y21" s="523">
        <f t="shared" si="1"/>
        <v>1275635.4753632026</v>
      </c>
      <c r="Z21" s="523">
        <f t="shared" si="1"/>
        <v>1288391.8301168345</v>
      </c>
      <c r="AA21" s="523">
        <f t="shared" si="1"/>
        <v>1301275.7484180031</v>
      </c>
      <c r="AB21" s="523">
        <f t="shared" si="1"/>
        <v>1314288.5059021832</v>
      </c>
      <c r="AC21" s="524">
        <f t="shared" si="1"/>
        <v>1327431.3909612051</v>
      </c>
    </row>
  </sheetData>
  <mergeCells count="3">
    <mergeCell ref="B2:F2"/>
    <mergeCell ref="B4:F4"/>
    <mergeCell ref="B16:C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5481-FF54-404C-B22F-1A15982FDFEA}">
  <dimension ref="B2:AF21"/>
  <sheetViews>
    <sheetView topLeftCell="A7" workbookViewId="0">
      <selection activeCell="D21" sqref="D21"/>
    </sheetView>
  </sheetViews>
  <sheetFormatPr defaultColWidth="11.44140625" defaultRowHeight="14.4" x14ac:dyDescent="0.3"/>
  <cols>
    <col min="1" max="1" width="3.77734375" customWidth="1"/>
    <col min="2" max="2" width="27.77734375" customWidth="1"/>
    <col min="3" max="3" width="18.21875" bestFit="1" customWidth="1"/>
    <col min="4" max="4" width="16.21875" customWidth="1"/>
    <col min="5" max="5" width="18.44140625" customWidth="1"/>
    <col min="6" max="6" width="16.21875" customWidth="1"/>
    <col min="7" max="7" width="13.21875" bestFit="1" customWidth="1"/>
    <col min="8" max="8" width="15.5546875" customWidth="1"/>
    <col min="9" max="9" width="17.77734375" customWidth="1"/>
    <col min="10" max="10" width="16.44140625" customWidth="1"/>
    <col min="11" max="11" width="17.77734375" customWidth="1"/>
    <col min="12" max="12" width="17.44140625" customWidth="1"/>
    <col min="13" max="13" width="15.21875" customWidth="1"/>
    <col min="14" max="14" width="15" customWidth="1"/>
    <col min="15" max="15" width="17.77734375" customWidth="1"/>
    <col min="16" max="16" width="18.44140625" customWidth="1"/>
    <col min="17" max="17" width="18.77734375" customWidth="1"/>
    <col min="18" max="18" width="16.21875" customWidth="1"/>
    <col min="19" max="19" width="17.21875" bestFit="1" customWidth="1"/>
    <col min="20" max="20" width="18.5546875" bestFit="1" customWidth="1"/>
    <col min="21" max="21" width="19.77734375" customWidth="1"/>
    <col min="22" max="36" width="16.21875" customWidth="1"/>
  </cols>
  <sheetData>
    <row r="2" spans="2:32" ht="17.399999999999999" x14ac:dyDescent="0.3">
      <c r="B2" s="552" t="s">
        <v>180</v>
      </c>
      <c r="C2" s="552"/>
      <c r="D2" s="552"/>
      <c r="E2" s="552"/>
      <c r="F2" s="552"/>
      <c r="G2" s="432"/>
      <c r="H2" s="432"/>
    </row>
    <row r="3" spans="2:32" ht="18" thickBot="1" x14ac:dyDescent="0.35">
      <c r="B3" s="410"/>
      <c r="C3" s="410"/>
      <c r="D3" s="410"/>
      <c r="E3" s="410"/>
      <c r="F3" s="410"/>
    </row>
    <row r="4" spans="2:32" s="1" customFormat="1" ht="18.600000000000001" customHeight="1" thickBot="1" x14ac:dyDescent="0.3">
      <c r="B4" s="553" t="s">
        <v>199</v>
      </c>
      <c r="C4" s="554"/>
      <c r="D4" s="554"/>
      <c r="E4" s="554"/>
      <c r="F4" s="555"/>
      <c r="G4" s="411"/>
      <c r="H4" s="411"/>
      <c r="I4" s="411"/>
      <c r="J4" s="2"/>
      <c r="K4" s="2"/>
      <c r="L4" s="2"/>
    </row>
    <row r="5" spans="2:32" s="1" customFormat="1" ht="21.75" customHeight="1" thickBot="1" x14ac:dyDescent="0.35">
      <c r="B5" s="395" t="s">
        <v>0</v>
      </c>
      <c r="C5" s="396" t="s">
        <v>128</v>
      </c>
      <c r="D5" s="395" t="s">
        <v>129</v>
      </c>
      <c r="E5" s="395" t="s">
        <v>181</v>
      </c>
      <c r="F5" s="412" t="s">
        <v>182</v>
      </c>
      <c r="H5" s="58"/>
      <c r="I5" s="62"/>
      <c r="J5" s="33"/>
      <c r="K5" s="2"/>
      <c r="L5" s="2"/>
    </row>
    <row r="6" spans="2:32" s="1" customFormat="1" ht="15" thickBot="1" x14ac:dyDescent="0.35">
      <c r="B6" s="437" t="s">
        <v>183</v>
      </c>
      <c r="C6" s="397">
        <v>0.7</v>
      </c>
      <c r="D6" s="398">
        <v>0.2</v>
      </c>
      <c r="E6" s="399">
        <v>0.1</v>
      </c>
      <c r="F6" s="436"/>
      <c r="H6" s="58"/>
      <c r="I6" s="62"/>
      <c r="J6" s="33"/>
      <c r="K6" s="2"/>
      <c r="L6" s="2"/>
    </row>
    <row r="7" spans="2:32" s="1" customFormat="1" x14ac:dyDescent="0.3">
      <c r="B7" s="433"/>
      <c r="C7" s="401"/>
      <c r="D7" s="402" t="s">
        <v>0</v>
      </c>
      <c r="E7" s="401"/>
      <c r="F7" s="434"/>
      <c r="H7" s="58"/>
      <c r="I7" s="62"/>
      <c r="J7" s="33"/>
      <c r="K7" s="2"/>
      <c r="L7" s="2"/>
    </row>
    <row r="8" spans="2:32" s="1" customFormat="1" x14ac:dyDescent="0.3">
      <c r="B8" s="400" t="s">
        <v>184</v>
      </c>
      <c r="C8" s="475">
        <f>40*22*30</f>
        <v>26400</v>
      </c>
      <c r="D8" s="476">
        <f>20*20*10</f>
        <v>4000</v>
      </c>
      <c r="E8" s="476">
        <f>(C8+D8)*E6</f>
        <v>3040</v>
      </c>
      <c r="F8" s="477">
        <f>SUM(C8:E8)</f>
        <v>33440</v>
      </c>
      <c r="H8" s="58"/>
      <c r="I8" s="62"/>
      <c r="J8" s="33"/>
      <c r="K8" s="2"/>
      <c r="L8" s="2"/>
    </row>
    <row r="9" spans="2:32" s="1" customFormat="1" ht="15.6" customHeight="1" x14ac:dyDescent="0.3">
      <c r="B9" s="435"/>
      <c r="C9" s="478"/>
      <c r="D9" s="479"/>
      <c r="E9" s="479"/>
      <c r="F9" s="480"/>
      <c r="H9" s="58"/>
      <c r="I9" s="62"/>
      <c r="J9" s="33"/>
      <c r="K9" s="2"/>
      <c r="L9" s="2"/>
    </row>
    <row r="10" spans="2:32" s="1" customFormat="1" ht="15" customHeight="1" x14ac:dyDescent="0.3">
      <c r="B10" s="403"/>
      <c r="C10" s="481"/>
      <c r="D10" s="479"/>
      <c r="E10" s="479"/>
      <c r="F10" s="480"/>
      <c r="H10" s="58"/>
      <c r="I10" s="59"/>
      <c r="J10" s="2"/>
      <c r="K10" s="2"/>
      <c r="L10" s="2"/>
    </row>
    <row r="11" spans="2:32" s="1" customFormat="1" ht="15" customHeight="1" thickBot="1" x14ac:dyDescent="0.35">
      <c r="B11" s="404" t="s">
        <v>185</v>
      </c>
      <c r="C11" s="482">
        <f>C8*12</f>
        <v>316800</v>
      </c>
      <c r="D11" s="482">
        <f>D8*12</f>
        <v>48000</v>
      </c>
      <c r="E11" s="482">
        <f>E8*12</f>
        <v>36480</v>
      </c>
      <c r="F11" s="483">
        <f>+E11+D11+C11</f>
        <v>401280</v>
      </c>
      <c r="H11" s="58"/>
      <c r="I11" s="59"/>
      <c r="J11" s="2"/>
      <c r="K11" s="2"/>
      <c r="L11" s="2"/>
    </row>
    <row r="12" spans="2:32" s="1" customFormat="1" x14ac:dyDescent="0.3">
      <c r="B12" s="268"/>
      <c r="C12" s="405"/>
      <c r="D12" s="406"/>
      <c r="E12" s="407" t="s">
        <v>0</v>
      </c>
      <c r="F12" s="407"/>
      <c r="G12" s="44"/>
      <c r="H12" s="44"/>
      <c r="I12" s="44"/>
      <c r="J12" s="44"/>
      <c r="K12" s="44"/>
      <c r="L12" s="44"/>
      <c r="M12" s="44"/>
      <c r="N12" s="49"/>
      <c r="O12" s="293"/>
      <c r="P12" s="51"/>
      <c r="Q12" s="45"/>
      <c r="R12" s="45"/>
      <c r="S12" s="45"/>
      <c r="T12" s="34"/>
      <c r="U12" s="31"/>
      <c r="V12" s="50"/>
      <c r="W12" s="2"/>
      <c r="X12" s="2"/>
      <c r="Y12" s="2"/>
    </row>
    <row r="15" spans="2:32" ht="15" customHeight="1" thickBot="1" x14ac:dyDescent="0.35"/>
    <row r="16" spans="2:32" s="11" customFormat="1" ht="30.75" customHeight="1" x14ac:dyDescent="0.3">
      <c r="B16" s="550" t="s">
        <v>186</v>
      </c>
      <c r="C16" s="551"/>
      <c r="D16" s="36">
        <v>1</v>
      </c>
      <c r="E16" s="36">
        <f>D16+1</f>
        <v>2</v>
      </c>
      <c r="F16" s="36">
        <f t="shared" ref="F16:AB16" si="0">E16+1</f>
        <v>3</v>
      </c>
      <c r="G16" s="36">
        <f t="shared" si="0"/>
        <v>4</v>
      </c>
      <c r="H16" s="36">
        <f t="shared" si="0"/>
        <v>5</v>
      </c>
      <c r="I16" s="36">
        <f t="shared" si="0"/>
        <v>6</v>
      </c>
      <c r="J16" s="36">
        <f t="shared" si="0"/>
        <v>7</v>
      </c>
      <c r="K16" s="36">
        <f>J16+1</f>
        <v>8</v>
      </c>
      <c r="L16" s="36">
        <f t="shared" si="0"/>
        <v>9</v>
      </c>
      <c r="M16" s="36">
        <f t="shared" si="0"/>
        <v>10</v>
      </c>
      <c r="N16" s="36">
        <f t="shared" si="0"/>
        <v>11</v>
      </c>
      <c r="O16" s="36">
        <f t="shared" si="0"/>
        <v>12</v>
      </c>
      <c r="P16" s="36">
        <f t="shared" si="0"/>
        <v>13</v>
      </c>
      <c r="Q16" s="36">
        <f t="shared" si="0"/>
        <v>14</v>
      </c>
      <c r="R16" s="36">
        <f t="shared" si="0"/>
        <v>15</v>
      </c>
      <c r="S16" s="36">
        <f>R16+1</f>
        <v>16</v>
      </c>
      <c r="T16" s="36">
        <f>S16+1</f>
        <v>17</v>
      </c>
      <c r="U16" s="36">
        <f t="shared" si="0"/>
        <v>18</v>
      </c>
      <c r="V16" s="36">
        <f t="shared" si="0"/>
        <v>19</v>
      </c>
      <c r="W16" s="37">
        <f t="shared" si="0"/>
        <v>20</v>
      </c>
      <c r="X16" s="37">
        <f t="shared" si="0"/>
        <v>21</v>
      </c>
      <c r="Y16" s="37">
        <f t="shared" si="0"/>
        <v>22</v>
      </c>
      <c r="Z16" s="37">
        <f t="shared" si="0"/>
        <v>23</v>
      </c>
      <c r="AA16" s="408">
        <f t="shared" si="0"/>
        <v>24</v>
      </c>
      <c r="AB16" s="409">
        <f t="shared" si="0"/>
        <v>25</v>
      </c>
      <c r="AC16" s="1"/>
      <c r="AD16" s="1"/>
      <c r="AE16" s="1"/>
      <c r="AF16" s="1"/>
    </row>
    <row r="17" spans="2:29" ht="30.75" customHeight="1" x14ac:dyDescent="0.3">
      <c r="B17" s="380" t="s">
        <v>132</v>
      </c>
      <c r="E17" s="441">
        <v>1</v>
      </c>
      <c r="F17" s="441">
        <v>1</v>
      </c>
      <c r="G17" s="441">
        <v>1</v>
      </c>
      <c r="H17" s="441">
        <v>1</v>
      </c>
      <c r="I17" s="441">
        <v>1</v>
      </c>
      <c r="J17" s="441">
        <v>1</v>
      </c>
      <c r="K17" s="441">
        <v>1</v>
      </c>
      <c r="L17" s="441">
        <v>1</v>
      </c>
      <c r="M17" s="441">
        <v>1</v>
      </c>
      <c r="N17" s="441">
        <v>1</v>
      </c>
      <c r="O17" s="441">
        <v>1</v>
      </c>
      <c r="P17" s="441">
        <v>1</v>
      </c>
      <c r="Q17" s="441">
        <v>1</v>
      </c>
      <c r="R17" s="441">
        <v>1</v>
      </c>
      <c r="S17" s="441">
        <v>1</v>
      </c>
      <c r="T17" s="441">
        <v>1</v>
      </c>
      <c r="U17" s="441">
        <v>1</v>
      </c>
      <c r="V17" s="441">
        <v>1</v>
      </c>
      <c r="W17" s="441">
        <v>1</v>
      </c>
      <c r="X17" s="441">
        <v>1</v>
      </c>
      <c r="Y17" s="441">
        <v>1</v>
      </c>
      <c r="Z17" s="441">
        <v>1</v>
      </c>
      <c r="AA17" s="441">
        <v>1</v>
      </c>
      <c r="AB17" s="441">
        <v>1</v>
      </c>
      <c r="AC17" s="441">
        <v>1</v>
      </c>
    </row>
    <row r="18" spans="2:29" x14ac:dyDescent="0.3">
      <c r="B18" s="415" t="s">
        <v>187</v>
      </c>
      <c r="E18" s="522">
        <f>+C11*E17</f>
        <v>316800</v>
      </c>
      <c r="F18" s="522">
        <f>+$E$18*F17*(1+'SITE Model - INPUT PARAMETERS'!$C$29)^(E$16-1)</f>
        <v>319968</v>
      </c>
      <c r="G18" s="522">
        <f>+$E$18*G17*(1+'SITE Model - INPUT PARAMETERS'!$C$29)^(F$16-1)</f>
        <v>323167.68</v>
      </c>
      <c r="H18" s="522">
        <f>+$E$18*H17*(1+'SITE Model - INPUT PARAMETERS'!$C$29)^(G$16-1)</f>
        <v>326399.35679999995</v>
      </c>
      <c r="I18" s="522">
        <f>+$E$18*I17*(1+'SITE Model - INPUT PARAMETERS'!$C$29)^(H$16-1)</f>
        <v>329663.35036799998</v>
      </c>
      <c r="J18" s="522">
        <f>+$E$18*J17*(1+'SITE Model - INPUT PARAMETERS'!$C$29)^(I$16-1)</f>
        <v>332959.98387167999</v>
      </c>
      <c r="K18" s="522">
        <f>+$E$18*K17*(1+'SITE Model - INPUT PARAMETERS'!$C$29)^(J$16-1)</f>
        <v>336289.58371039684</v>
      </c>
      <c r="L18" s="522">
        <f>+$E$18*L17*(1+'SITE Model - INPUT PARAMETERS'!$C$29)^(K$16-1)</f>
        <v>339652.47954750073</v>
      </c>
      <c r="M18" s="522">
        <f>+$E$18*M17*(1+'SITE Model - INPUT PARAMETERS'!$C$29)^(L$16-1)</f>
        <v>343049.00434297579</v>
      </c>
      <c r="N18" s="522">
        <f>+$E$18*N17*(1+'SITE Model - INPUT PARAMETERS'!$C$29)^(M$16-1)</f>
        <v>346479.49438640563</v>
      </c>
      <c r="O18" s="522">
        <f>+$E$18*O17*(1+'SITE Model - INPUT PARAMETERS'!$C$29)^(N$16-1)</f>
        <v>349944.28933026968</v>
      </c>
      <c r="P18" s="522">
        <f>+$E$18*P17*(1+'SITE Model - INPUT PARAMETERS'!$C$29)^(O$16-1)</f>
        <v>353443.73222357227</v>
      </c>
      <c r="Q18" s="522">
        <f>+$E$18*Q17*(1+'SITE Model - INPUT PARAMETERS'!$C$29)^(P$16-1)</f>
        <v>356978.16954580805</v>
      </c>
      <c r="R18" s="522">
        <f>+$E$18*R17*(1+'SITE Model - INPUT PARAMETERS'!$C$29)^(Q$16-1)</f>
        <v>360547.9512412661</v>
      </c>
      <c r="S18" s="522">
        <f>+$E$18*S17*(1+'SITE Model - INPUT PARAMETERS'!$C$29)^(R$16-1)</f>
        <v>364153.43075367884</v>
      </c>
      <c r="T18" s="522">
        <f>+$E$18*T17*(1+'SITE Model - INPUT PARAMETERS'!$C$29)^(S$16-1)</f>
        <v>367794.96506121551</v>
      </c>
      <c r="U18" s="522">
        <f>+$E$18*U17*(1+'SITE Model - INPUT PARAMETERS'!$C$29)^(T$16-1)</f>
        <v>371472.91471182776</v>
      </c>
      <c r="V18" s="522">
        <f>+$E$18*V17*(1+'SITE Model - INPUT PARAMETERS'!$C$29)^(U$16-1)</f>
        <v>375187.64385894604</v>
      </c>
      <c r="W18" s="522">
        <f>+$E$18*W17*(1+'SITE Model - INPUT PARAMETERS'!$C$29)^(V$16-1)</f>
        <v>378939.52029753552</v>
      </c>
      <c r="X18" s="522">
        <f>+$E$18*X17*(1+'SITE Model - INPUT PARAMETERS'!$C$29)^(W$16-1)</f>
        <v>382728.91550051083</v>
      </c>
      <c r="Y18" s="522">
        <f>+$E$18*Y17*(1+'SITE Model - INPUT PARAMETERS'!$C$29)^(X$16-1)</f>
        <v>386556.20465551596</v>
      </c>
      <c r="Z18" s="522">
        <f>+$E$18*Z17*(1+'SITE Model - INPUT PARAMETERS'!$C$29)^(Y$16-1)</f>
        <v>390421.76670207107</v>
      </c>
      <c r="AA18" s="522">
        <f>+$E$18*AA17*(1+'SITE Model - INPUT PARAMETERS'!$C$29)^(Z$16-1)</f>
        <v>394325.98436909186</v>
      </c>
      <c r="AB18" s="522">
        <f>+$E$18*AB17*(1+'SITE Model - INPUT PARAMETERS'!$C$29)^(AA$16-1)</f>
        <v>398269.24421278277</v>
      </c>
      <c r="AC18" s="522">
        <f>+$E$18*AC17*(1+'SITE Model - INPUT PARAMETERS'!$C$29)^(AB$16-1)</f>
        <v>402251.93665491068</v>
      </c>
    </row>
    <row r="19" spans="2:29" x14ac:dyDescent="0.3">
      <c r="B19" s="415" t="s">
        <v>129</v>
      </c>
      <c r="E19" s="522">
        <f>+D11*E17</f>
        <v>48000</v>
      </c>
      <c r="F19" s="522">
        <f>+$E$19*F17*(1+'SITE Model - INPUT PARAMETERS'!$C$29)^(E$16-1)</f>
        <v>48480</v>
      </c>
      <c r="G19" s="522">
        <f>+$E$19*G17*(1+'SITE Model - INPUT PARAMETERS'!$C$29)^(F$16-1)</f>
        <v>48964.800000000003</v>
      </c>
      <c r="H19" s="522">
        <f>+$E$19*H17*(1+'SITE Model - INPUT PARAMETERS'!$C$29)^(G$16-1)</f>
        <v>49454.447999999997</v>
      </c>
      <c r="I19" s="522">
        <f>+$E$19*I17*(1+'SITE Model - INPUT PARAMETERS'!$C$29)^(H$16-1)</f>
        <v>49948.992480000001</v>
      </c>
      <c r="J19" s="522">
        <f>+$E$19*J17*(1+'SITE Model - INPUT PARAMETERS'!$C$29)^(I$16-1)</f>
        <v>50448.482404799994</v>
      </c>
      <c r="K19" s="522">
        <f>+$E$19*K17*(1+'SITE Model - INPUT PARAMETERS'!$C$29)^(J$16-1)</f>
        <v>50952.967228848007</v>
      </c>
      <c r="L19" s="522">
        <f>+$E$19*L17*(1+'SITE Model - INPUT PARAMETERS'!$C$29)^(K$16-1)</f>
        <v>51462.496901136474</v>
      </c>
      <c r="M19" s="522">
        <f>+$E$19*M17*(1+'SITE Model - INPUT PARAMETERS'!$C$29)^(L$16-1)</f>
        <v>51977.12187014785</v>
      </c>
      <c r="N19" s="522">
        <f>+$E$19*N17*(1+'SITE Model - INPUT PARAMETERS'!$C$29)^(M$16-1)</f>
        <v>52496.893088849334</v>
      </c>
      <c r="O19" s="522">
        <f>+$E$19*O17*(1+'SITE Model - INPUT PARAMETERS'!$C$29)^(N$16-1)</f>
        <v>53021.862019737826</v>
      </c>
      <c r="P19" s="522">
        <f>+$E$19*P17*(1+'SITE Model - INPUT PARAMETERS'!$C$29)^(O$16-1)</f>
        <v>53552.080639935193</v>
      </c>
      <c r="Q19" s="522">
        <f>+$E$19*Q17*(1+'SITE Model - INPUT PARAMETERS'!$C$29)^(P$16-1)</f>
        <v>54087.601446334549</v>
      </c>
      <c r="R19" s="522">
        <f>+$E$19*R17*(1+'SITE Model - INPUT PARAMETERS'!$C$29)^(Q$16-1)</f>
        <v>54628.477460797898</v>
      </c>
      <c r="S19" s="522">
        <f>+$E$19*S17*(1+'SITE Model - INPUT PARAMETERS'!$C$29)^(R$16-1)</f>
        <v>55174.762235405884</v>
      </c>
      <c r="T19" s="522">
        <f>+$E$19*T17*(1+'SITE Model - INPUT PARAMETERS'!$C$29)^(S$16-1)</f>
        <v>55726.509857759927</v>
      </c>
      <c r="U19" s="522">
        <f>+$E$19*U17*(1+'SITE Model - INPUT PARAMETERS'!$C$29)^(T$16-1)</f>
        <v>56283.77495633754</v>
      </c>
      <c r="V19" s="522">
        <f>+$E$19*V17*(1+'SITE Model - INPUT PARAMETERS'!$C$29)^(U$16-1)</f>
        <v>56846.612705900923</v>
      </c>
      <c r="W19" s="522">
        <f>+$E$19*W17*(1+'SITE Model - INPUT PARAMETERS'!$C$29)^(V$16-1)</f>
        <v>57415.078832959931</v>
      </c>
      <c r="X19" s="522">
        <f>+$E$19*X17*(1+'SITE Model - INPUT PARAMETERS'!$C$29)^(W$16-1)</f>
        <v>57989.229621289516</v>
      </c>
      <c r="Y19" s="522">
        <f>+$E$19*Y17*(1+'SITE Model - INPUT PARAMETERS'!$C$29)^(X$16-1)</f>
        <v>58569.121917502416</v>
      </c>
      <c r="Z19" s="522">
        <f>+$E$19*Z17*(1+'SITE Model - INPUT PARAMETERS'!$C$29)^(Y$16-1)</f>
        <v>59154.81313667744</v>
      </c>
      <c r="AA19" s="522">
        <f>+$E$19*AA17*(1+'SITE Model - INPUT PARAMETERS'!$C$29)^(Z$16-1)</f>
        <v>59746.361268044224</v>
      </c>
      <c r="AB19" s="522">
        <f>+$E$19*AB17*(1+'SITE Model - INPUT PARAMETERS'!$C$29)^(AA$16-1)</f>
        <v>60343.824880724656</v>
      </c>
      <c r="AC19" s="522">
        <f>+$E$19*AC17*(1+'SITE Model - INPUT PARAMETERS'!$C$29)^(AB$16-1)</f>
        <v>60947.263129531922</v>
      </c>
    </row>
    <row r="20" spans="2:29" ht="15" thickBot="1" x14ac:dyDescent="0.35">
      <c r="B20" s="415" t="s">
        <v>130</v>
      </c>
      <c r="E20" s="522">
        <f>+E11*E17</f>
        <v>36480</v>
      </c>
      <c r="F20" s="522">
        <f>+$E$20*F17*(1+'SITE Model - INPUT PARAMETERS'!$C$29)^(E$16-1)</f>
        <v>36844.800000000003</v>
      </c>
      <c r="G20" s="522">
        <f>+$E$20*G17*(1+'SITE Model - INPUT PARAMETERS'!$C$29)^(F$16-1)</f>
        <v>37213.248</v>
      </c>
      <c r="H20" s="522">
        <f>+$E$20*H17*(1+'SITE Model - INPUT PARAMETERS'!$C$29)^(G$16-1)</f>
        <v>37585.38048</v>
      </c>
      <c r="I20" s="522">
        <f>+$E$20*I17*(1+'SITE Model - INPUT PARAMETERS'!$C$29)^(H$16-1)</f>
        <v>37961.234284800004</v>
      </c>
      <c r="J20" s="522">
        <f>+$E$20*J17*(1+'SITE Model - INPUT PARAMETERS'!$C$29)^(I$16-1)</f>
        <v>38340.846627647996</v>
      </c>
      <c r="K20" s="522">
        <f>+$E$20*K17*(1+'SITE Model - INPUT PARAMETERS'!$C$29)^(J$16-1)</f>
        <v>38724.255093924483</v>
      </c>
      <c r="L20" s="522">
        <f>+$E$20*L17*(1+'SITE Model - INPUT PARAMETERS'!$C$29)^(K$16-1)</f>
        <v>39111.497644863717</v>
      </c>
      <c r="M20" s="522">
        <f>+$E$20*M17*(1+'SITE Model - INPUT PARAMETERS'!$C$29)^(L$16-1)</f>
        <v>39502.612621312364</v>
      </c>
      <c r="N20" s="522">
        <f>+$E$20*N17*(1+'SITE Model - INPUT PARAMETERS'!$C$29)^(M$16-1)</f>
        <v>39897.638747525496</v>
      </c>
      <c r="O20" s="522">
        <f>+$E$20*O17*(1+'SITE Model - INPUT PARAMETERS'!$C$29)^(N$16-1)</f>
        <v>40296.615135000749</v>
      </c>
      <c r="P20" s="522">
        <f>+$E$20*P17*(1+'SITE Model - INPUT PARAMETERS'!$C$29)^(O$16-1)</f>
        <v>40699.581286350745</v>
      </c>
      <c r="Q20" s="522">
        <f>+$E$20*Q17*(1+'SITE Model - INPUT PARAMETERS'!$C$29)^(P$16-1)</f>
        <v>41106.577099214257</v>
      </c>
      <c r="R20" s="522">
        <f>+$E$20*R17*(1+'SITE Model - INPUT PARAMETERS'!$C$29)^(Q$16-1)</f>
        <v>41517.6428702064</v>
      </c>
      <c r="S20" s="522">
        <f>+$E$20*S17*(1+'SITE Model - INPUT PARAMETERS'!$C$29)^(R$16-1)</f>
        <v>41932.819298908471</v>
      </c>
      <c r="T20" s="522">
        <f>+$E$20*T17*(1+'SITE Model - INPUT PARAMETERS'!$C$29)^(S$16-1)</f>
        <v>42352.147491897544</v>
      </c>
      <c r="U20" s="522">
        <f>+$E$20*U17*(1+'SITE Model - INPUT PARAMETERS'!$C$29)^(T$16-1)</f>
        <v>42775.668966816535</v>
      </c>
      <c r="V20" s="522">
        <f>+$E$20*V17*(1+'SITE Model - INPUT PARAMETERS'!$C$29)^(U$16-1)</f>
        <v>43203.425656484702</v>
      </c>
      <c r="W20" s="522">
        <f>+$E$20*W17*(1+'SITE Model - INPUT PARAMETERS'!$C$29)^(V$16-1)</f>
        <v>43635.459913049548</v>
      </c>
      <c r="X20" s="522">
        <f>+$E$20*X17*(1+'SITE Model - INPUT PARAMETERS'!$C$29)^(W$16-1)</f>
        <v>44071.814512180033</v>
      </c>
      <c r="Y20" s="522">
        <f>+$E$20*Y17*(1+'SITE Model - INPUT PARAMETERS'!$C$29)^(X$16-1)</f>
        <v>44512.532657301839</v>
      </c>
      <c r="Z20" s="522">
        <f>+$E$20*Z17*(1+'SITE Model - INPUT PARAMETERS'!$C$29)^(Y$16-1)</f>
        <v>44957.657983874851</v>
      </c>
      <c r="AA20" s="522">
        <f>+$E$20*AA17*(1+'SITE Model - INPUT PARAMETERS'!$C$29)^(Z$16-1)</f>
        <v>45407.23456371361</v>
      </c>
      <c r="AB20" s="522">
        <f>+$E$20*AB17*(1+'SITE Model - INPUT PARAMETERS'!$C$29)^(AA$16-1)</f>
        <v>45861.306909350737</v>
      </c>
      <c r="AC20" s="522">
        <f>+$E$20*AC17*(1+'SITE Model - INPUT PARAMETERS'!$C$29)^(AB$16-1)</f>
        <v>46319.919978444261</v>
      </c>
    </row>
    <row r="21" spans="2:29" ht="28.05" customHeight="1" thickBot="1" x14ac:dyDescent="0.35">
      <c r="B21" s="430" t="s">
        <v>188</v>
      </c>
      <c r="C21" s="431"/>
      <c r="D21" s="521"/>
      <c r="E21" s="523">
        <f>SUM(E18:E20)</f>
        <v>401280</v>
      </c>
      <c r="F21" s="523">
        <f t="shared" ref="F21:AC21" si="1">SUM(F18:F20)</f>
        <v>405292.79999999999</v>
      </c>
      <c r="G21" s="523">
        <f t="shared" si="1"/>
        <v>409345.728</v>
      </c>
      <c r="H21" s="523">
        <f t="shared" si="1"/>
        <v>413439.18527999992</v>
      </c>
      <c r="I21" s="523">
        <f t="shared" si="1"/>
        <v>417573.57713280001</v>
      </c>
      <c r="J21" s="523">
        <f t="shared" si="1"/>
        <v>421749.31290412799</v>
      </c>
      <c r="K21" s="523">
        <f t="shared" si="1"/>
        <v>425966.80603316933</v>
      </c>
      <c r="L21" s="523">
        <f t="shared" si="1"/>
        <v>430226.47409350093</v>
      </c>
      <c r="M21" s="523">
        <f t="shared" si="1"/>
        <v>434528.73883443605</v>
      </c>
      <c r="N21" s="523">
        <f t="shared" si="1"/>
        <v>438874.02622278046</v>
      </c>
      <c r="O21" s="523">
        <f t="shared" si="1"/>
        <v>443262.76648500824</v>
      </c>
      <c r="P21" s="523">
        <f t="shared" si="1"/>
        <v>447695.39414985821</v>
      </c>
      <c r="Q21" s="523">
        <f t="shared" si="1"/>
        <v>452172.34809135686</v>
      </c>
      <c r="R21" s="523">
        <f t="shared" si="1"/>
        <v>456694.07157227036</v>
      </c>
      <c r="S21" s="523">
        <f t="shared" si="1"/>
        <v>461261.01228799322</v>
      </c>
      <c r="T21" s="523">
        <f t="shared" si="1"/>
        <v>465873.62241087295</v>
      </c>
      <c r="U21" s="523">
        <f t="shared" si="1"/>
        <v>470532.35863498179</v>
      </c>
      <c r="V21" s="523">
        <f t="shared" si="1"/>
        <v>475237.68222133163</v>
      </c>
      <c r="W21" s="523">
        <f t="shared" si="1"/>
        <v>479990.05904354498</v>
      </c>
      <c r="X21" s="523">
        <f t="shared" si="1"/>
        <v>484789.95963398041</v>
      </c>
      <c r="Y21" s="523">
        <f t="shared" si="1"/>
        <v>489637.8592303202</v>
      </c>
      <c r="Z21" s="523">
        <f t="shared" si="1"/>
        <v>494534.23782262334</v>
      </c>
      <c r="AA21" s="523">
        <f t="shared" si="1"/>
        <v>499479.58020084968</v>
      </c>
      <c r="AB21" s="523">
        <f t="shared" si="1"/>
        <v>504474.37600285816</v>
      </c>
      <c r="AC21" s="524">
        <f t="shared" si="1"/>
        <v>509519.1197628869</v>
      </c>
    </row>
  </sheetData>
  <mergeCells count="3">
    <mergeCell ref="B2:F2"/>
    <mergeCell ref="B4:F4"/>
    <mergeCell ref="B16:C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F82D-2189-4AAC-95D9-E644E53EF288}">
  <dimension ref="B2:AF21"/>
  <sheetViews>
    <sheetView topLeftCell="A7" workbookViewId="0">
      <selection activeCell="D21" sqref="D21"/>
    </sheetView>
  </sheetViews>
  <sheetFormatPr defaultColWidth="11.44140625" defaultRowHeight="14.4" x14ac:dyDescent="0.3"/>
  <cols>
    <col min="1" max="1" width="3.77734375" customWidth="1"/>
    <col min="2" max="2" width="27.77734375" customWidth="1"/>
    <col min="3" max="3" width="18.21875" bestFit="1" customWidth="1"/>
    <col min="4" max="4" width="16.21875" customWidth="1"/>
    <col min="5" max="5" width="18.44140625" customWidth="1"/>
    <col min="6" max="6" width="16.21875" customWidth="1"/>
    <col min="7" max="7" width="13.21875" bestFit="1" customWidth="1"/>
    <col min="8" max="8" width="15.5546875" customWidth="1"/>
    <col min="9" max="9" width="17.77734375" customWidth="1"/>
    <col min="10" max="10" width="16.44140625" customWidth="1"/>
    <col min="11" max="11" width="17.77734375" customWidth="1"/>
    <col min="12" max="12" width="17.44140625" customWidth="1"/>
    <col min="13" max="13" width="15.21875" customWidth="1"/>
    <col min="14" max="14" width="15" customWidth="1"/>
    <col min="15" max="15" width="17.77734375" customWidth="1"/>
    <col min="16" max="16" width="18.44140625" customWidth="1"/>
    <col min="17" max="17" width="18.77734375" customWidth="1"/>
    <col min="18" max="18" width="16.21875" customWidth="1"/>
    <col min="19" max="19" width="17.21875" bestFit="1" customWidth="1"/>
    <col min="20" max="20" width="18.5546875" bestFit="1" customWidth="1"/>
    <col min="21" max="21" width="19.77734375" customWidth="1"/>
    <col min="22" max="36" width="16.21875" customWidth="1"/>
  </cols>
  <sheetData>
    <row r="2" spans="2:32" ht="17.399999999999999" x14ac:dyDescent="0.3">
      <c r="B2" s="552" t="s">
        <v>180</v>
      </c>
      <c r="C2" s="552"/>
      <c r="D2" s="552"/>
      <c r="E2" s="552"/>
      <c r="F2" s="552"/>
      <c r="G2" s="432"/>
      <c r="H2" s="432"/>
    </row>
    <row r="3" spans="2:32" ht="18" thickBot="1" x14ac:dyDescent="0.35">
      <c r="B3" s="410"/>
      <c r="C3" s="410"/>
      <c r="D3" s="410"/>
      <c r="E3" s="410"/>
      <c r="F3" s="410"/>
    </row>
    <row r="4" spans="2:32" s="1" customFormat="1" ht="18.600000000000001" customHeight="1" thickBot="1" x14ac:dyDescent="0.3">
      <c r="B4" s="553" t="s">
        <v>198</v>
      </c>
      <c r="C4" s="554"/>
      <c r="D4" s="554"/>
      <c r="E4" s="554"/>
      <c r="F4" s="555"/>
      <c r="G4" s="411"/>
      <c r="H4" s="411"/>
      <c r="I4" s="411"/>
      <c r="J4" s="2"/>
      <c r="K4" s="2"/>
      <c r="L4" s="2"/>
    </row>
    <row r="5" spans="2:32" s="1" customFormat="1" ht="21.75" customHeight="1" thickBot="1" x14ac:dyDescent="0.35">
      <c r="B5" s="395" t="s">
        <v>0</v>
      </c>
      <c r="C5" s="396" t="s">
        <v>128</v>
      </c>
      <c r="D5" s="395" t="s">
        <v>129</v>
      </c>
      <c r="E5" s="395" t="s">
        <v>181</v>
      </c>
      <c r="F5" s="412" t="s">
        <v>182</v>
      </c>
      <c r="H5" s="58"/>
      <c r="I5" s="62"/>
      <c r="J5" s="33"/>
      <c r="K5" s="2"/>
      <c r="L5" s="2"/>
    </row>
    <row r="6" spans="2:32" s="1" customFormat="1" ht="15" thickBot="1" x14ac:dyDescent="0.35">
      <c r="B6" s="437" t="s">
        <v>183</v>
      </c>
      <c r="C6" s="397">
        <v>0.7</v>
      </c>
      <c r="D6" s="398">
        <v>0.2</v>
      </c>
      <c r="E6" s="399">
        <v>0.1</v>
      </c>
      <c r="F6" s="436"/>
      <c r="H6" s="58"/>
      <c r="I6" s="62"/>
      <c r="J6" s="33"/>
      <c r="K6" s="2"/>
      <c r="L6" s="2"/>
    </row>
    <row r="7" spans="2:32" s="1" customFormat="1" x14ac:dyDescent="0.3">
      <c r="B7" s="433"/>
      <c r="C7" s="401"/>
      <c r="D7" s="402" t="s">
        <v>0</v>
      </c>
      <c r="E7" s="401"/>
      <c r="F7" s="434"/>
      <c r="H7" s="58"/>
      <c r="I7" s="62"/>
      <c r="J7" s="33"/>
      <c r="K7" s="2"/>
      <c r="L7" s="2"/>
    </row>
    <row r="8" spans="2:32" s="1" customFormat="1" x14ac:dyDescent="0.3">
      <c r="B8" s="400" t="s">
        <v>184</v>
      </c>
      <c r="C8" s="475">
        <f>50*20*30</f>
        <v>30000</v>
      </c>
      <c r="D8" s="476">
        <f>25*20*10</f>
        <v>5000</v>
      </c>
      <c r="E8" s="476">
        <f>(C8+D8)*E6</f>
        <v>3500</v>
      </c>
      <c r="F8" s="477">
        <f>SUM(C8:E8)</f>
        <v>38500</v>
      </c>
      <c r="H8" s="58"/>
      <c r="I8" s="62"/>
      <c r="J8" s="33"/>
      <c r="K8" s="2"/>
      <c r="L8" s="2"/>
    </row>
    <row r="9" spans="2:32" s="1" customFormat="1" ht="15.6" customHeight="1" x14ac:dyDescent="0.3">
      <c r="B9" s="435"/>
      <c r="C9" s="478"/>
      <c r="D9" s="479"/>
      <c r="E9" s="479"/>
      <c r="F9" s="480"/>
      <c r="H9" s="58"/>
      <c r="I9" s="62"/>
      <c r="J9" s="33"/>
      <c r="K9" s="2"/>
      <c r="L9" s="2"/>
    </row>
    <row r="10" spans="2:32" s="1" customFormat="1" ht="15" customHeight="1" x14ac:dyDescent="0.3">
      <c r="B10" s="403"/>
      <c r="C10" s="481"/>
      <c r="D10" s="479"/>
      <c r="E10" s="479"/>
      <c r="F10" s="480"/>
      <c r="H10" s="58"/>
      <c r="I10" s="59"/>
      <c r="J10" s="2"/>
      <c r="K10" s="2"/>
      <c r="L10" s="2"/>
    </row>
    <row r="11" spans="2:32" s="1" customFormat="1" ht="15" customHeight="1" thickBot="1" x14ac:dyDescent="0.35">
      <c r="B11" s="404" t="s">
        <v>185</v>
      </c>
      <c r="C11" s="482">
        <f>C8*12</f>
        <v>360000</v>
      </c>
      <c r="D11" s="482">
        <f>D8*12</f>
        <v>60000</v>
      </c>
      <c r="E11" s="482">
        <f>E8*12</f>
        <v>42000</v>
      </c>
      <c r="F11" s="483">
        <f>+E11+D11+C11</f>
        <v>462000</v>
      </c>
      <c r="H11" s="58"/>
      <c r="I11" s="59"/>
      <c r="J11" s="2"/>
      <c r="K11" s="2"/>
      <c r="L11" s="2"/>
    </row>
    <row r="12" spans="2:32" s="1" customFormat="1" x14ac:dyDescent="0.3">
      <c r="B12" s="268"/>
      <c r="C12" s="405"/>
      <c r="D12" s="406"/>
      <c r="E12" s="407" t="s">
        <v>0</v>
      </c>
      <c r="F12" s="407"/>
      <c r="G12" s="44"/>
      <c r="H12" s="44"/>
      <c r="I12" s="44"/>
      <c r="J12" s="44"/>
      <c r="K12" s="44"/>
      <c r="L12" s="44"/>
      <c r="M12" s="44"/>
      <c r="N12" s="49"/>
      <c r="O12" s="293"/>
      <c r="P12" s="51"/>
      <c r="Q12" s="45"/>
      <c r="R12" s="45"/>
      <c r="S12" s="45"/>
      <c r="T12" s="34"/>
      <c r="U12" s="31"/>
      <c r="V12" s="50"/>
      <c r="W12" s="2"/>
      <c r="X12" s="2"/>
      <c r="Y12" s="2"/>
    </row>
    <row r="15" spans="2:32" ht="15" customHeight="1" thickBot="1" x14ac:dyDescent="0.35"/>
    <row r="16" spans="2:32" s="11" customFormat="1" ht="30.75" customHeight="1" x14ac:dyDescent="0.3">
      <c r="B16" s="550" t="s">
        <v>186</v>
      </c>
      <c r="C16" s="551"/>
      <c r="D16" s="36">
        <v>1</v>
      </c>
      <c r="E16" s="36">
        <f>D16+1</f>
        <v>2</v>
      </c>
      <c r="F16" s="36">
        <f t="shared" ref="F16:AB16" si="0">E16+1</f>
        <v>3</v>
      </c>
      <c r="G16" s="36">
        <f t="shared" si="0"/>
        <v>4</v>
      </c>
      <c r="H16" s="36">
        <f t="shared" si="0"/>
        <v>5</v>
      </c>
      <c r="I16" s="36">
        <f t="shared" si="0"/>
        <v>6</v>
      </c>
      <c r="J16" s="36">
        <f t="shared" si="0"/>
        <v>7</v>
      </c>
      <c r="K16" s="36">
        <f>J16+1</f>
        <v>8</v>
      </c>
      <c r="L16" s="36">
        <f t="shared" si="0"/>
        <v>9</v>
      </c>
      <c r="M16" s="36">
        <f t="shared" si="0"/>
        <v>10</v>
      </c>
      <c r="N16" s="36">
        <f t="shared" si="0"/>
        <v>11</v>
      </c>
      <c r="O16" s="36">
        <f t="shared" si="0"/>
        <v>12</v>
      </c>
      <c r="P16" s="36">
        <f t="shared" si="0"/>
        <v>13</v>
      </c>
      <c r="Q16" s="36">
        <f t="shared" si="0"/>
        <v>14</v>
      </c>
      <c r="R16" s="36">
        <f t="shared" si="0"/>
        <v>15</v>
      </c>
      <c r="S16" s="36">
        <f>R16+1</f>
        <v>16</v>
      </c>
      <c r="T16" s="36">
        <f>S16+1</f>
        <v>17</v>
      </c>
      <c r="U16" s="36">
        <f t="shared" si="0"/>
        <v>18</v>
      </c>
      <c r="V16" s="36">
        <f t="shared" si="0"/>
        <v>19</v>
      </c>
      <c r="W16" s="37">
        <f t="shared" si="0"/>
        <v>20</v>
      </c>
      <c r="X16" s="37">
        <f t="shared" si="0"/>
        <v>21</v>
      </c>
      <c r="Y16" s="37">
        <f t="shared" si="0"/>
        <v>22</v>
      </c>
      <c r="Z16" s="37">
        <f t="shared" si="0"/>
        <v>23</v>
      </c>
      <c r="AA16" s="408">
        <f t="shared" si="0"/>
        <v>24</v>
      </c>
      <c r="AB16" s="409">
        <f t="shared" si="0"/>
        <v>25</v>
      </c>
      <c r="AC16" s="1"/>
      <c r="AD16" s="1"/>
      <c r="AE16" s="1"/>
      <c r="AF16" s="1"/>
    </row>
    <row r="17" spans="2:29" ht="30.75" customHeight="1" x14ac:dyDescent="0.3">
      <c r="B17" s="380" t="s">
        <v>132</v>
      </c>
      <c r="E17" s="441">
        <v>1</v>
      </c>
      <c r="F17" s="441">
        <v>1</v>
      </c>
      <c r="G17" s="441">
        <v>1</v>
      </c>
      <c r="H17" s="441">
        <v>1</v>
      </c>
      <c r="I17" s="441">
        <v>1</v>
      </c>
      <c r="J17" s="441">
        <v>1</v>
      </c>
      <c r="K17" s="441">
        <v>1</v>
      </c>
      <c r="L17" s="441">
        <v>1</v>
      </c>
      <c r="M17" s="441">
        <v>1</v>
      </c>
      <c r="N17" s="441">
        <v>1</v>
      </c>
      <c r="O17" s="441">
        <v>1</v>
      </c>
      <c r="P17" s="441">
        <v>1</v>
      </c>
      <c r="Q17" s="441">
        <v>1</v>
      </c>
      <c r="R17" s="441">
        <v>1</v>
      </c>
      <c r="S17" s="441">
        <v>1</v>
      </c>
      <c r="T17" s="441">
        <v>1</v>
      </c>
      <c r="U17" s="441">
        <v>1</v>
      </c>
      <c r="V17" s="441">
        <v>1</v>
      </c>
      <c r="W17" s="441">
        <v>1</v>
      </c>
      <c r="X17" s="441">
        <v>1</v>
      </c>
      <c r="Y17" s="441">
        <v>1</v>
      </c>
      <c r="Z17" s="441">
        <v>1</v>
      </c>
      <c r="AA17" s="441">
        <v>1</v>
      </c>
      <c r="AB17" s="441">
        <v>1</v>
      </c>
      <c r="AC17" s="441">
        <v>1</v>
      </c>
    </row>
    <row r="18" spans="2:29" x14ac:dyDescent="0.3">
      <c r="B18" s="415" t="s">
        <v>187</v>
      </c>
      <c r="E18" s="522">
        <f>+C11*E17</f>
        <v>360000</v>
      </c>
      <c r="F18" s="522">
        <f>+$E$18*F17*(1+'SITE Model - INPUT PARAMETERS'!$C$29)^(E$16-1)</f>
        <v>363600</v>
      </c>
      <c r="G18" s="522">
        <f>+$E$18*G17*(1+'SITE Model - INPUT PARAMETERS'!$C$29)^(F$16-1)</f>
        <v>367236</v>
      </c>
      <c r="H18" s="522">
        <f>+$E$18*H17*(1+'SITE Model - INPUT PARAMETERS'!$C$29)^(G$16-1)</f>
        <v>370908.36</v>
      </c>
      <c r="I18" s="522">
        <f>+$E$18*I17*(1+'SITE Model - INPUT PARAMETERS'!$C$29)^(H$16-1)</f>
        <v>374617.4436</v>
      </c>
      <c r="J18" s="522">
        <f>+$E$18*J17*(1+'SITE Model - INPUT PARAMETERS'!$C$29)^(I$16-1)</f>
        <v>378363.618036</v>
      </c>
      <c r="K18" s="522">
        <f>+$E$18*K17*(1+'SITE Model - INPUT PARAMETERS'!$C$29)^(J$16-1)</f>
        <v>382147.25421636004</v>
      </c>
      <c r="L18" s="522">
        <f>+$E$18*L17*(1+'SITE Model - INPUT PARAMETERS'!$C$29)^(K$16-1)</f>
        <v>385968.72675852355</v>
      </c>
      <c r="M18" s="522">
        <f>+$E$18*M17*(1+'SITE Model - INPUT PARAMETERS'!$C$29)^(L$16-1)</f>
        <v>389828.41402610886</v>
      </c>
      <c r="N18" s="522">
        <f>+$E$18*N17*(1+'SITE Model - INPUT PARAMETERS'!$C$29)^(M$16-1)</f>
        <v>393726.69816636998</v>
      </c>
      <c r="O18" s="522">
        <f>+$E$18*O17*(1+'SITE Model - INPUT PARAMETERS'!$C$29)^(N$16-1)</f>
        <v>397663.96514803369</v>
      </c>
      <c r="P18" s="522">
        <f>+$E$18*P17*(1+'SITE Model - INPUT PARAMETERS'!$C$29)^(O$16-1)</f>
        <v>401640.60479951394</v>
      </c>
      <c r="Q18" s="522">
        <f>+$E$18*Q17*(1+'SITE Model - INPUT PARAMETERS'!$C$29)^(P$16-1)</f>
        <v>405657.01084750914</v>
      </c>
      <c r="R18" s="522">
        <f>+$E$18*R17*(1+'SITE Model - INPUT PARAMETERS'!$C$29)^(Q$16-1)</f>
        <v>409713.58095598425</v>
      </c>
      <c r="S18" s="522">
        <f>+$E$18*S17*(1+'SITE Model - INPUT PARAMETERS'!$C$29)^(R$16-1)</f>
        <v>413810.71676554414</v>
      </c>
      <c r="T18" s="522">
        <f>+$E$18*T17*(1+'SITE Model - INPUT PARAMETERS'!$C$29)^(S$16-1)</f>
        <v>417948.82393319946</v>
      </c>
      <c r="U18" s="522">
        <f>+$E$18*U17*(1+'SITE Model - INPUT PARAMETERS'!$C$29)^(T$16-1)</f>
        <v>422128.31217253156</v>
      </c>
      <c r="V18" s="522">
        <f>+$E$18*V17*(1+'SITE Model - INPUT PARAMETERS'!$C$29)^(U$16-1)</f>
        <v>426349.59529425693</v>
      </c>
      <c r="W18" s="522">
        <f>+$E$18*W17*(1+'SITE Model - INPUT PARAMETERS'!$C$29)^(V$16-1)</f>
        <v>430613.09124719951</v>
      </c>
      <c r="X18" s="522">
        <f>+$E$18*X17*(1+'SITE Model - INPUT PARAMETERS'!$C$29)^(W$16-1)</f>
        <v>434919.22215967136</v>
      </c>
      <c r="Y18" s="522">
        <f>+$E$18*Y17*(1+'SITE Model - INPUT PARAMETERS'!$C$29)^(X$16-1)</f>
        <v>439268.41438126814</v>
      </c>
      <c r="Z18" s="522">
        <f>+$E$18*Z17*(1+'SITE Model - INPUT PARAMETERS'!$C$29)^(Y$16-1)</f>
        <v>443661.09852508077</v>
      </c>
      <c r="AA18" s="522">
        <f>+$E$18*AA17*(1+'SITE Model - INPUT PARAMETERS'!$C$29)^(Z$16-1)</f>
        <v>448097.70951033168</v>
      </c>
      <c r="AB18" s="522">
        <f>+$E$18*AB17*(1+'SITE Model - INPUT PARAMETERS'!$C$29)^(AA$16-1)</f>
        <v>452578.68660543492</v>
      </c>
      <c r="AC18" s="522">
        <f>+$E$18*AC17*(1+'SITE Model - INPUT PARAMETERS'!$C$29)^(AB$16-1)</f>
        <v>457104.47347148939</v>
      </c>
    </row>
    <row r="19" spans="2:29" x14ac:dyDescent="0.3">
      <c r="B19" s="415" t="s">
        <v>129</v>
      </c>
      <c r="E19" s="522">
        <f>+D11*E17</f>
        <v>60000</v>
      </c>
      <c r="F19" s="522">
        <f>+$E$19*F17*(1+'SITE Model - INPUT PARAMETERS'!$C$29)^(E$16-1)</f>
        <v>60600</v>
      </c>
      <c r="G19" s="522">
        <f>+$E$19*G17*(1+'SITE Model - INPUT PARAMETERS'!$C$29)^(F$16-1)</f>
        <v>61206</v>
      </c>
      <c r="H19" s="522">
        <f>+$E$19*H17*(1+'SITE Model - INPUT PARAMETERS'!$C$29)^(G$16-1)</f>
        <v>61818.06</v>
      </c>
      <c r="I19" s="522">
        <f>+$E$19*I17*(1+'SITE Model - INPUT PARAMETERS'!$C$29)^(H$16-1)</f>
        <v>62436.240600000005</v>
      </c>
      <c r="J19" s="522">
        <f>+$E$19*J17*(1+'SITE Model - INPUT PARAMETERS'!$C$29)^(I$16-1)</f>
        <v>63060.603005999998</v>
      </c>
      <c r="K19" s="522">
        <f>+$E$19*K17*(1+'SITE Model - INPUT PARAMETERS'!$C$29)^(J$16-1)</f>
        <v>63691.209036060005</v>
      </c>
      <c r="L19" s="522">
        <f>+$E$19*L17*(1+'SITE Model - INPUT PARAMETERS'!$C$29)^(K$16-1)</f>
        <v>64328.121126420592</v>
      </c>
      <c r="M19" s="522">
        <f>+$E$19*M17*(1+'SITE Model - INPUT PARAMETERS'!$C$29)^(L$16-1)</f>
        <v>64971.402337684813</v>
      </c>
      <c r="N19" s="522">
        <f>+$E$19*N17*(1+'SITE Model - INPUT PARAMETERS'!$C$29)^(M$16-1)</f>
        <v>65621.116361061664</v>
      </c>
      <c r="O19" s="522">
        <f>+$E$19*O17*(1+'SITE Model - INPUT PARAMETERS'!$C$29)^(N$16-1)</f>
        <v>66277.327524672291</v>
      </c>
      <c r="P19" s="522">
        <f>+$E$19*P17*(1+'SITE Model - INPUT PARAMETERS'!$C$29)^(O$16-1)</f>
        <v>66940.10079991899</v>
      </c>
      <c r="Q19" s="522">
        <f>+$E$19*Q17*(1+'SITE Model - INPUT PARAMETERS'!$C$29)^(P$16-1)</f>
        <v>67609.50180791819</v>
      </c>
      <c r="R19" s="522">
        <f>+$E$19*R17*(1+'SITE Model - INPUT PARAMETERS'!$C$29)^(Q$16-1)</f>
        <v>68285.596825997374</v>
      </c>
      <c r="S19" s="522">
        <f>+$E$19*S17*(1+'SITE Model - INPUT PARAMETERS'!$C$29)^(R$16-1)</f>
        <v>68968.452794257348</v>
      </c>
      <c r="T19" s="522">
        <f>+$E$19*T17*(1+'SITE Model - INPUT PARAMETERS'!$C$29)^(S$16-1)</f>
        <v>69658.137322199909</v>
      </c>
      <c r="U19" s="522">
        <f>+$E$19*U17*(1+'SITE Model - INPUT PARAMETERS'!$C$29)^(T$16-1)</f>
        <v>70354.718695421921</v>
      </c>
      <c r="V19" s="522">
        <f>+$E$19*V17*(1+'SITE Model - INPUT PARAMETERS'!$C$29)^(U$16-1)</f>
        <v>71058.265882376145</v>
      </c>
      <c r="W19" s="522">
        <f>+$E$19*W17*(1+'SITE Model - INPUT PARAMETERS'!$C$29)^(V$16-1)</f>
        <v>71768.848541199914</v>
      </c>
      <c r="X19" s="522">
        <f>+$E$19*X17*(1+'SITE Model - INPUT PARAMETERS'!$C$29)^(W$16-1)</f>
        <v>72486.537026611899</v>
      </c>
      <c r="Y19" s="522">
        <f>+$E$19*Y17*(1+'SITE Model - INPUT PARAMETERS'!$C$29)^(X$16-1)</f>
        <v>73211.402396878024</v>
      </c>
      <c r="Z19" s="522">
        <f>+$E$19*Z17*(1+'SITE Model - INPUT PARAMETERS'!$C$29)^(Y$16-1)</f>
        <v>73943.51642084679</v>
      </c>
      <c r="AA19" s="522">
        <f>+$E$19*AA17*(1+'SITE Model - INPUT PARAMETERS'!$C$29)^(Z$16-1)</f>
        <v>74682.951585055285</v>
      </c>
      <c r="AB19" s="522">
        <f>+$E$19*AB17*(1+'SITE Model - INPUT PARAMETERS'!$C$29)^(AA$16-1)</f>
        <v>75429.78110090582</v>
      </c>
      <c r="AC19" s="522">
        <f>+$E$19*AC17*(1+'SITE Model - INPUT PARAMETERS'!$C$29)^(AB$16-1)</f>
        <v>76184.078911914898</v>
      </c>
    </row>
    <row r="20" spans="2:29" ht="15" thickBot="1" x14ac:dyDescent="0.35">
      <c r="B20" s="415" t="s">
        <v>130</v>
      </c>
      <c r="E20" s="522">
        <f>+E11*E17</f>
        <v>42000</v>
      </c>
      <c r="F20" s="522">
        <f>+$E$20*F17*(1+'SITE Model - INPUT PARAMETERS'!$C$29)^(E$16-1)</f>
        <v>42420</v>
      </c>
      <c r="G20" s="522">
        <f>+$E$20*G17*(1+'SITE Model - INPUT PARAMETERS'!$C$29)^(F$16-1)</f>
        <v>42844.2</v>
      </c>
      <c r="H20" s="522">
        <f>+$E$20*H17*(1+'SITE Model - INPUT PARAMETERS'!$C$29)^(G$16-1)</f>
        <v>43272.642</v>
      </c>
      <c r="I20" s="522">
        <f>+$E$20*I17*(1+'SITE Model - INPUT PARAMETERS'!$C$29)^(H$16-1)</f>
        <v>43705.368419999999</v>
      </c>
      <c r="J20" s="522">
        <f>+$E$20*J17*(1+'SITE Model - INPUT PARAMETERS'!$C$29)^(I$16-1)</f>
        <v>44142.422104199999</v>
      </c>
      <c r="K20" s="522">
        <f>+$E$20*K17*(1+'SITE Model - INPUT PARAMETERS'!$C$29)^(J$16-1)</f>
        <v>44583.846325242004</v>
      </c>
      <c r="L20" s="522">
        <f>+$E$20*L17*(1+'SITE Model - INPUT PARAMETERS'!$C$29)^(K$16-1)</f>
        <v>45029.684788494415</v>
      </c>
      <c r="M20" s="522">
        <f>+$E$20*M17*(1+'SITE Model - INPUT PARAMETERS'!$C$29)^(L$16-1)</f>
        <v>45479.981636379373</v>
      </c>
      <c r="N20" s="522">
        <f>+$E$20*N17*(1+'SITE Model - INPUT PARAMETERS'!$C$29)^(M$16-1)</f>
        <v>45934.781452743169</v>
      </c>
      <c r="O20" s="522">
        <f>+$E$20*O17*(1+'SITE Model - INPUT PARAMETERS'!$C$29)^(N$16-1)</f>
        <v>46394.129267270597</v>
      </c>
      <c r="P20" s="522">
        <f>+$E$20*P17*(1+'SITE Model - INPUT PARAMETERS'!$C$29)^(O$16-1)</f>
        <v>46858.070559943299</v>
      </c>
      <c r="Q20" s="522">
        <f>+$E$20*Q17*(1+'SITE Model - INPUT PARAMETERS'!$C$29)^(P$16-1)</f>
        <v>47326.651265542729</v>
      </c>
      <c r="R20" s="522">
        <f>+$E$20*R17*(1+'SITE Model - INPUT PARAMETERS'!$C$29)^(Q$16-1)</f>
        <v>47799.917778198156</v>
      </c>
      <c r="S20" s="522">
        <f>+$E$20*S17*(1+'SITE Model - INPUT PARAMETERS'!$C$29)^(R$16-1)</f>
        <v>48277.916955980145</v>
      </c>
      <c r="T20" s="522">
        <f>+$E$20*T17*(1+'SITE Model - INPUT PARAMETERS'!$C$29)^(S$16-1)</f>
        <v>48760.696125539936</v>
      </c>
      <c r="U20" s="522">
        <f>+$E$20*U17*(1+'SITE Model - INPUT PARAMETERS'!$C$29)^(T$16-1)</f>
        <v>49248.303086795349</v>
      </c>
      <c r="V20" s="522">
        <f>+$E$20*V17*(1+'SITE Model - INPUT PARAMETERS'!$C$29)^(U$16-1)</f>
        <v>49740.786117663309</v>
      </c>
      <c r="W20" s="522">
        <f>+$E$20*W17*(1+'SITE Model - INPUT PARAMETERS'!$C$29)^(V$16-1)</f>
        <v>50238.19397883994</v>
      </c>
      <c r="X20" s="522">
        <f>+$E$20*X17*(1+'SITE Model - INPUT PARAMETERS'!$C$29)^(W$16-1)</f>
        <v>50740.575918628325</v>
      </c>
      <c r="Y20" s="522">
        <f>+$E$20*Y17*(1+'SITE Model - INPUT PARAMETERS'!$C$29)^(X$16-1)</f>
        <v>51247.981677814612</v>
      </c>
      <c r="Z20" s="522">
        <f>+$E$20*Z17*(1+'SITE Model - INPUT PARAMETERS'!$C$29)^(Y$16-1)</f>
        <v>51760.461494592753</v>
      </c>
      <c r="AA20" s="522">
        <f>+$E$20*AA17*(1+'SITE Model - INPUT PARAMETERS'!$C$29)^(Z$16-1)</f>
        <v>52278.066109538697</v>
      </c>
      <c r="AB20" s="522">
        <f>+$E$20*AB17*(1+'SITE Model - INPUT PARAMETERS'!$C$29)^(AA$16-1)</f>
        <v>52800.846770634074</v>
      </c>
      <c r="AC20" s="522">
        <f>+$E$20*AC17*(1+'SITE Model - INPUT PARAMETERS'!$C$29)^(AB$16-1)</f>
        <v>53328.855238340431</v>
      </c>
    </row>
    <row r="21" spans="2:29" ht="28.05" customHeight="1" thickBot="1" x14ac:dyDescent="0.35">
      <c r="B21" s="430" t="s">
        <v>188</v>
      </c>
      <c r="C21" s="431"/>
      <c r="D21" s="521"/>
      <c r="E21" s="523">
        <f>SUM(E18:E20)</f>
        <v>462000</v>
      </c>
      <c r="F21" s="523">
        <f t="shared" ref="F21:AC21" si="1">SUM(F18:F20)</f>
        <v>466620</v>
      </c>
      <c r="G21" s="523">
        <f t="shared" si="1"/>
        <v>471286.2</v>
      </c>
      <c r="H21" s="523">
        <f t="shared" si="1"/>
        <v>475999.06199999998</v>
      </c>
      <c r="I21" s="523">
        <f t="shared" si="1"/>
        <v>480759.05262000003</v>
      </c>
      <c r="J21" s="523">
        <f t="shared" si="1"/>
        <v>485566.64314619999</v>
      </c>
      <c r="K21" s="523">
        <f t="shared" si="1"/>
        <v>490422.30957766209</v>
      </c>
      <c r="L21" s="523">
        <f t="shared" si="1"/>
        <v>495326.5326734386</v>
      </c>
      <c r="M21" s="523">
        <f t="shared" si="1"/>
        <v>500279.79800017306</v>
      </c>
      <c r="N21" s="523">
        <f t="shared" si="1"/>
        <v>505282.59598017478</v>
      </c>
      <c r="O21" s="523">
        <f t="shared" si="1"/>
        <v>510335.42193997657</v>
      </c>
      <c r="P21" s="523">
        <f t="shared" si="1"/>
        <v>515438.77615937626</v>
      </c>
      <c r="Q21" s="523">
        <f t="shared" si="1"/>
        <v>520593.16392097005</v>
      </c>
      <c r="R21" s="523">
        <f t="shared" si="1"/>
        <v>525799.09556017979</v>
      </c>
      <c r="S21" s="523">
        <f t="shared" si="1"/>
        <v>531057.08651578159</v>
      </c>
      <c r="T21" s="523">
        <f t="shared" si="1"/>
        <v>536367.65738093934</v>
      </c>
      <c r="U21" s="523">
        <f t="shared" si="1"/>
        <v>541731.33395474881</v>
      </c>
      <c r="V21" s="523">
        <f t="shared" si="1"/>
        <v>547148.6472942963</v>
      </c>
      <c r="W21" s="523">
        <f t="shared" si="1"/>
        <v>552620.1337672394</v>
      </c>
      <c r="X21" s="523">
        <f t="shared" si="1"/>
        <v>558146.33510491159</v>
      </c>
      <c r="Y21" s="523">
        <f t="shared" si="1"/>
        <v>563727.79845596082</v>
      </c>
      <c r="Z21" s="523">
        <f t="shared" si="1"/>
        <v>569365.07644052035</v>
      </c>
      <c r="AA21" s="523">
        <f t="shared" si="1"/>
        <v>575058.72720492561</v>
      </c>
      <c r="AB21" s="523">
        <f t="shared" si="1"/>
        <v>580809.31447697477</v>
      </c>
      <c r="AC21" s="524">
        <f t="shared" si="1"/>
        <v>586617.40762174467</v>
      </c>
    </row>
  </sheetData>
  <mergeCells count="3">
    <mergeCell ref="B2:F2"/>
    <mergeCell ref="B4:F4"/>
    <mergeCell ref="B16:C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2436-BF48-4D71-9193-F18866107716}">
  <dimension ref="B2:AF21"/>
  <sheetViews>
    <sheetView topLeftCell="A7" workbookViewId="0">
      <selection activeCell="E21" sqref="E21"/>
    </sheetView>
  </sheetViews>
  <sheetFormatPr defaultColWidth="11.44140625" defaultRowHeight="14.4" x14ac:dyDescent="0.3"/>
  <cols>
    <col min="1" max="1" width="3.77734375" customWidth="1"/>
    <col min="2" max="2" width="27.77734375" customWidth="1"/>
    <col min="3" max="3" width="18.21875" bestFit="1" customWidth="1"/>
    <col min="4" max="4" width="16.21875" customWidth="1"/>
    <col min="5" max="5" width="18.44140625" customWidth="1"/>
    <col min="6" max="6" width="16.21875" customWidth="1"/>
    <col min="7" max="7" width="13.21875" bestFit="1" customWidth="1"/>
    <col min="8" max="8" width="15.5546875" customWidth="1"/>
    <col min="9" max="9" width="17.77734375" customWidth="1"/>
    <col min="10" max="10" width="16.44140625" customWidth="1"/>
    <col min="11" max="11" width="17.77734375" customWidth="1"/>
    <col min="12" max="12" width="17.44140625" customWidth="1"/>
    <col min="13" max="13" width="15.21875" customWidth="1"/>
    <col min="14" max="14" width="15" customWidth="1"/>
    <col min="15" max="15" width="17.77734375" customWidth="1"/>
    <col min="16" max="16" width="18.44140625" customWidth="1"/>
    <col min="17" max="17" width="18.77734375" customWidth="1"/>
    <col min="18" max="18" width="16.21875" customWidth="1"/>
    <col min="19" max="19" width="17.21875" bestFit="1" customWidth="1"/>
    <col min="20" max="20" width="18.5546875" bestFit="1" customWidth="1"/>
    <col min="21" max="21" width="19.77734375" customWidth="1"/>
    <col min="22" max="36" width="16.21875" customWidth="1"/>
  </cols>
  <sheetData>
    <row r="2" spans="2:32" ht="17.399999999999999" x14ac:dyDescent="0.3">
      <c r="B2" s="552" t="s">
        <v>180</v>
      </c>
      <c r="C2" s="552"/>
      <c r="D2" s="552"/>
      <c r="E2" s="552"/>
      <c r="F2" s="552"/>
      <c r="G2" s="432"/>
      <c r="H2" s="432"/>
    </row>
    <row r="3" spans="2:32" ht="18" thickBot="1" x14ac:dyDescent="0.35">
      <c r="B3" s="410"/>
      <c r="C3" s="410"/>
      <c r="D3" s="410"/>
      <c r="E3" s="410"/>
      <c r="F3" s="410"/>
    </row>
    <row r="4" spans="2:32" s="1" customFormat="1" ht="18.600000000000001" customHeight="1" thickBot="1" x14ac:dyDescent="0.3">
      <c r="B4" s="553" t="s">
        <v>197</v>
      </c>
      <c r="C4" s="554"/>
      <c r="D4" s="554"/>
      <c r="E4" s="554"/>
      <c r="F4" s="555"/>
      <c r="G4" s="411"/>
      <c r="H4" s="411"/>
      <c r="I4" s="411"/>
      <c r="J4" s="2"/>
      <c r="K4" s="2"/>
      <c r="L4" s="2"/>
    </row>
    <row r="5" spans="2:32" s="1" customFormat="1" ht="21.75" customHeight="1" thickBot="1" x14ac:dyDescent="0.35">
      <c r="B5" s="395" t="s">
        <v>0</v>
      </c>
      <c r="C5" s="396" t="s">
        <v>128</v>
      </c>
      <c r="D5" s="395" t="s">
        <v>129</v>
      </c>
      <c r="E5" s="395" t="s">
        <v>181</v>
      </c>
      <c r="F5" s="412" t="s">
        <v>182</v>
      </c>
      <c r="H5" s="58"/>
      <c r="I5" s="62"/>
      <c r="J5" s="33"/>
      <c r="K5" s="2"/>
      <c r="L5" s="2"/>
    </row>
    <row r="6" spans="2:32" s="1" customFormat="1" ht="15" thickBot="1" x14ac:dyDescent="0.35">
      <c r="B6" s="437" t="s">
        <v>183</v>
      </c>
      <c r="C6" s="397">
        <v>0.7</v>
      </c>
      <c r="D6" s="398">
        <v>0.2</v>
      </c>
      <c r="E6" s="399">
        <v>0.1</v>
      </c>
      <c r="F6" s="436"/>
      <c r="H6" s="58"/>
      <c r="I6" s="62"/>
      <c r="J6" s="33"/>
      <c r="K6" s="2"/>
      <c r="L6" s="2"/>
    </row>
    <row r="7" spans="2:32" s="1" customFormat="1" x14ac:dyDescent="0.3">
      <c r="B7" s="433"/>
      <c r="C7" s="401"/>
      <c r="D7" s="402" t="s">
        <v>0</v>
      </c>
      <c r="E7" s="401"/>
      <c r="F7" s="434"/>
      <c r="H7" s="58"/>
      <c r="I7" s="62"/>
      <c r="J7" s="33"/>
      <c r="K7" s="2"/>
      <c r="L7" s="2"/>
    </row>
    <row r="8" spans="2:32" s="1" customFormat="1" x14ac:dyDescent="0.3">
      <c r="B8" s="400" t="s">
        <v>184</v>
      </c>
      <c r="C8" s="475">
        <f>80*22*40</f>
        <v>70400</v>
      </c>
      <c r="D8" s="476">
        <f>40*22*10</f>
        <v>8800</v>
      </c>
      <c r="E8" s="476">
        <f>(C8+D8)*E6</f>
        <v>7920</v>
      </c>
      <c r="F8" s="477">
        <f>SUM(C8:E8)</f>
        <v>87120</v>
      </c>
      <c r="H8" s="58"/>
      <c r="I8" s="62"/>
      <c r="J8" s="33"/>
      <c r="K8" s="2"/>
      <c r="L8" s="2"/>
    </row>
    <row r="9" spans="2:32" s="1" customFormat="1" ht="15.6" customHeight="1" x14ac:dyDescent="0.3">
      <c r="B9" s="435"/>
      <c r="C9" s="478"/>
      <c r="D9" s="479"/>
      <c r="E9" s="479"/>
      <c r="F9" s="480"/>
      <c r="H9" s="58"/>
      <c r="I9" s="62"/>
      <c r="J9" s="33"/>
      <c r="K9" s="2"/>
      <c r="L9" s="2"/>
    </row>
    <row r="10" spans="2:32" s="1" customFormat="1" ht="15" customHeight="1" x14ac:dyDescent="0.3">
      <c r="B10" s="403"/>
      <c r="C10" s="481"/>
      <c r="D10" s="479"/>
      <c r="E10" s="479"/>
      <c r="F10" s="480"/>
      <c r="H10" s="58"/>
      <c r="I10" s="59"/>
      <c r="J10" s="2"/>
      <c r="K10" s="2"/>
      <c r="L10" s="2"/>
    </row>
    <row r="11" spans="2:32" s="1" customFormat="1" ht="15" customHeight="1" thickBot="1" x14ac:dyDescent="0.35">
      <c r="B11" s="404" t="s">
        <v>185</v>
      </c>
      <c r="C11" s="482">
        <f>C8*12</f>
        <v>844800</v>
      </c>
      <c r="D11" s="482">
        <f>D8*12</f>
        <v>105600</v>
      </c>
      <c r="E11" s="482">
        <f>E8*12</f>
        <v>95040</v>
      </c>
      <c r="F11" s="483">
        <f>+E11+D11+C11</f>
        <v>1045440</v>
      </c>
      <c r="H11" s="58"/>
      <c r="I11" s="59"/>
      <c r="J11" s="2"/>
      <c r="K11" s="2"/>
      <c r="L11" s="2"/>
    </row>
    <row r="12" spans="2:32" s="1" customFormat="1" x14ac:dyDescent="0.3">
      <c r="B12" s="268"/>
      <c r="C12" s="405"/>
      <c r="D12" s="406"/>
      <c r="E12" s="407" t="s">
        <v>0</v>
      </c>
      <c r="F12" s="407"/>
      <c r="G12" s="44"/>
      <c r="H12" s="44"/>
      <c r="I12" s="44"/>
      <c r="J12" s="44"/>
      <c r="K12" s="44"/>
      <c r="L12" s="44"/>
      <c r="M12" s="44"/>
      <c r="N12" s="49"/>
      <c r="O12" s="293"/>
      <c r="P12" s="51"/>
      <c r="Q12" s="45"/>
      <c r="R12" s="45"/>
      <c r="S12" s="45"/>
      <c r="T12" s="34"/>
      <c r="U12" s="31"/>
      <c r="V12" s="50"/>
      <c r="W12" s="2"/>
      <c r="X12" s="2"/>
      <c r="Y12" s="2"/>
    </row>
    <row r="15" spans="2:32" ht="15" customHeight="1" thickBot="1" x14ac:dyDescent="0.35"/>
    <row r="16" spans="2:32" s="11" customFormat="1" ht="30.75" customHeight="1" x14ac:dyDescent="0.3">
      <c r="B16" s="550" t="s">
        <v>186</v>
      </c>
      <c r="C16" s="551"/>
      <c r="D16" s="36">
        <v>1</v>
      </c>
      <c r="E16" s="36">
        <f>D16+1</f>
        <v>2</v>
      </c>
      <c r="F16" s="36">
        <f t="shared" ref="F16:AB16" si="0">E16+1</f>
        <v>3</v>
      </c>
      <c r="G16" s="36">
        <f t="shared" si="0"/>
        <v>4</v>
      </c>
      <c r="H16" s="36">
        <f t="shared" si="0"/>
        <v>5</v>
      </c>
      <c r="I16" s="36">
        <f t="shared" si="0"/>
        <v>6</v>
      </c>
      <c r="J16" s="36">
        <f t="shared" si="0"/>
        <v>7</v>
      </c>
      <c r="K16" s="36">
        <f>J16+1</f>
        <v>8</v>
      </c>
      <c r="L16" s="36">
        <f t="shared" si="0"/>
        <v>9</v>
      </c>
      <c r="M16" s="36">
        <f t="shared" si="0"/>
        <v>10</v>
      </c>
      <c r="N16" s="36">
        <f t="shared" si="0"/>
        <v>11</v>
      </c>
      <c r="O16" s="36">
        <f t="shared" si="0"/>
        <v>12</v>
      </c>
      <c r="P16" s="36">
        <f t="shared" si="0"/>
        <v>13</v>
      </c>
      <c r="Q16" s="36">
        <f t="shared" si="0"/>
        <v>14</v>
      </c>
      <c r="R16" s="36">
        <f t="shared" si="0"/>
        <v>15</v>
      </c>
      <c r="S16" s="36">
        <f>R16+1</f>
        <v>16</v>
      </c>
      <c r="T16" s="36">
        <f>S16+1</f>
        <v>17</v>
      </c>
      <c r="U16" s="36">
        <f t="shared" si="0"/>
        <v>18</v>
      </c>
      <c r="V16" s="36">
        <f t="shared" si="0"/>
        <v>19</v>
      </c>
      <c r="W16" s="37">
        <f t="shared" si="0"/>
        <v>20</v>
      </c>
      <c r="X16" s="37">
        <f t="shared" si="0"/>
        <v>21</v>
      </c>
      <c r="Y16" s="37">
        <f t="shared" si="0"/>
        <v>22</v>
      </c>
      <c r="Z16" s="37">
        <f t="shared" si="0"/>
        <v>23</v>
      </c>
      <c r="AA16" s="408">
        <f t="shared" si="0"/>
        <v>24</v>
      </c>
      <c r="AB16" s="409">
        <f t="shared" si="0"/>
        <v>25</v>
      </c>
      <c r="AC16" s="1"/>
      <c r="AD16" s="1"/>
      <c r="AE16" s="1"/>
      <c r="AF16" s="1"/>
    </row>
    <row r="17" spans="2:29" ht="30.75" customHeight="1" x14ac:dyDescent="0.3">
      <c r="B17" s="380" t="s">
        <v>132</v>
      </c>
      <c r="F17" s="441">
        <v>1</v>
      </c>
      <c r="G17" s="441">
        <v>1</v>
      </c>
      <c r="H17" s="441">
        <v>1</v>
      </c>
      <c r="I17" s="441">
        <v>1</v>
      </c>
      <c r="J17" s="441">
        <v>1</v>
      </c>
      <c r="K17" s="441">
        <v>1</v>
      </c>
      <c r="L17" s="441">
        <v>1</v>
      </c>
      <c r="M17" s="441">
        <v>1</v>
      </c>
      <c r="N17" s="441">
        <v>1</v>
      </c>
      <c r="O17" s="441">
        <v>1</v>
      </c>
      <c r="P17" s="441">
        <v>1</v>
      </c>
      <c r="Q17" s="441">
        <v>1</v>
      </c>
      <c r="R17" s="441">
        <v>1</v>
      </c>
      <c r="S17" s="441">
        <v>1</v>
      </c>
      <c r="T17" s="441">
        <v>1</v>
      </c>
      <c r="U17" s="441">
        <v>1</v>
      </c>
      <c r="V17" s="441">
        <v>1</v>
      </c>
      <c r="W17" s="441">
        <v>1</v>
      </c>
      <c r="X17" s="441">
        <v>1</v>
      </c>
      <c r="Y17" s="441">
        <v>1</v>
      </c>
      <c r="Z17" s="441">
        <v>1</v>
      </c>
      <c r="AA17" s="441">
        <v>1</v>
      </c>
      <c r="AB17" s="441">
        <v>1</v>
      </c>
      <c r="AC17" s="441">
        <v>1</v>
      </c>
    </row>
    <row r="18" spans="2:29" x14ac:dyDescent="0.3">
      <c r="B18" s="415" t="s">
        <v>187</v>
      </c>
      <c r="F18" s="522">
        <f>+C11*F17</f>
        <v>844800</v>
      </c>
      <c r="G18" s="522">
        <f>+$F$18*G17*(1+'SITE Model - INPUT PARAMETERS'!$C$29)^(E$16-1)</f>
        <v>853248</v>
      </c>
      <c r="H18" s="522">
        <f>+$F$18*H17*(1+'SITE Model - INPUT PARAMETERS'!$C$29)^(F$16-1)</f>
        <v>861780.47999999998</v>
      </c>
      <c r="I18" s="522">
        <f>+$F$18*I17*(1+'SITE Model - INPUT PARAMETERS'!$C$29)^(G$16-1)</f>
        <v>870398.28479999991</v>
      </c>
      <c r="J18" s="522">
        <f>+$F$18*J17*(1+'SITE Model - INPUT PARAMETERS'!$C$29)^(H$16-1)</f>
        <v>879102.26764800004</v>
      </c>
      <c r="K18" s="522">
        <f>+$F$18*K17*(1+'SITE Model - INPUT PARAMETERS'!$C$29)^(I$16-1)</f>
        <v>887893.29032447992</v>
      </c>
      <c r="L18" s="522">
        <f>+$F$18*L17*(1+'SITE Model - INPUT PARAMETERS'!$C$29)^(J$16-1)</f>
        <v>896772.2232277249</v>
      </c>
      <c r="M18" s="522">
        <f>+$F$18*M17*(1+'SITE Model - INPUT PARAMETERS'!$C$29)^(K$16-1)</f>
        <v>905739.94546000194</v>
      </c>
      <c r="N18" s="522">
        <f>+$F$18*N17*(1+'SITE Model - INPUT PARAMETERS'!$C$29)^(L$16-1)</f>
        <v>914797.34491460223</v>
      </c>
      <c r="O18" s="522">
        <f>+$F$18*O17*(1+'SITE Model - INPUT PARAMETERS'!$C$29)^(M$16-1)</f>
        <v>923945.31836374826</v>
      </c>
      <c r="P18" s="522">
        <f>+$F$18*P17*(1+'SITE Model - INPUT PARAMETERS'!$C$29)^(N$16-1)</f>
        <v>933184.77154738572</v>
      </c>
      <c r="Q18" s="522">
        <f>+$F$18*Q17*(1+'SITE Model - INPUT PARAMETERS'!$C$29)^(O$16-1)</f>
        <v>942516.61926285946</v>
      </c>
      <c r="R18" s="522">
        <f>+$F$18*R17*(1+'SITE Model - INPUT PARAMETERS'!$C$29)^(P$16-1)</f>
        <v>951941.78545548802</v>
      </c>
      <c r="S18" s="522">
        <f>+$F$18*S17*(1+'SITE Model - INPUT PARAMETERS'!$C$29)^(Q$16-1)</f>
        <v>961461.20331004297</v>
      </c>
      <c r="T18" s="522">
        <f>+$F$18*T17*(1+'SITE Model - INPUT PARAMETERS'!$C$29)^(R$16-1)</f>
        <v>971075.81534314353</v>
      </c>
      <c r="U18" s="522">
        <f>+$F$18*U17*(1+'SITE Model - INPUT PARAMETERS'!$C$29)^(S$16-1)</f>
        <v>980786.57349657465</v>
      </c>
      <c r="V18" s="522">
        <f>+$F$18*V17*(1+'SITE Model - INPUT PARAMETERS'!$C$29)^(T$16-1)</f>
        <v>990594.43923154077</v>
      </c>
      <c r="W18" s="522">
        <f>+$F$18*W17*(1+'SITE Model - INPUT PARAMETERS'!$C$29)^(U$16-1)</f>
        <v>1000500.3836238562</v>
      </c>
      <c r="X18" s="522">
        <f>+$F$18*X17*(1+'SITE Model - INPUT PARAMETERS'!$C$29)^(V$16-1)</f>
        <v>1010505.3874600948</v>
      </c>
      <c r="Y18" s="522">
        <f>+$F$18*Y17*(1+'SITE Model - INPUT PARAMETERS'!$C$29)^(W$16-1)</f>
        <v>1020610.4413346956</v>
      </c>
      <c r="Z18" s="522">
        <f>+$F$18*Z17*(1+'SITE Model - INPUT PARAMETERS'!$C$29)^(X$16-1)</f>
        <v>1030816.5457480425</v>
      </c>
      <c r="AA18" s="522">
        <f>+$F$18*AA17*(1+'SITE Model - INPUT PARAMETERS'!$C$29)^(Y$16-1)</f>
        <v>1041124.7112055229</v>
      </c>
      <c r="AB18" s="522">
        <f>+$F$18*AB17*(1+'SITE Model - INPUT PARAMETERS'!$C$29)^(Z$16-1)</f>
        <v>1051535.9583175783</v>
      </c>
      <c r="AC18" s="522">
        <f>+$F$18*AC17*(1+'SITE Model - INPUT PARAMETERS'!$C$29)^(AA$16-1)</f>
        <v>1062051.317900754</v>
      </c>
    </row>
    <row r="19" spans="2:29" x14ac:dyDescent="0.3">
      <c r="B19" s="415" t="s">
        <v>129</v>
      </c>
      <c r="F19" s="522">
        <f>+D11*F17</f>
        <v>105600</v>
      </c>
      <c r="G19" s="522">
        <f>+$F$19*G17*(1+'SITE Model - INPUT PARAMETERS'!$C$29)^(E$16-1)</f>
        <v>106656</v>
      </c>
      <c r="H19" s="522">
        <f>+$F$19*H17*(1+'SITE Model - INPUT PARAMETERS'!$C$29)^(F$16-1)</f>
        <v>107722.56</v>
      </c>
      <c r="I19" s="522">
        <f>+$F$19*I17*(1+'SITE Model - INPUT PARAMETERS'!$C$29)^(G$16-1)</f>
        <v>108799.78559999999</v>
      </c>
      <c r="J19" s="522">
        <f>+$F$19*J17*(1+'SITE Model - INPUT PARAMETERS'!$C$29)^(H$16-1)</f>
        <v>109887.783456</v>
      </c>
      <c r="K19" s="522">
        <f>+$F$19*K17*(1+'SITE Model - INPUT PARAMETERS'!$C$29)^(I$16-1)</f>
        <v>110986.66129055999</v>
      </c>
      <c r="L19" s="522">
        <f>+$F$19*L17*(1+'SITE Model - INPUT PARAMETERS'!$C$29)^(J$16-1)</f>
        <v>112096.52790346561</v>
      </c>
      <c r="M19" s="522">
        <f>+$F$19*M17*(1+'SITE Model - INPUT PARAMETERS'!$C$29)^(K$16-1)</f>
        <v>113217.49318250024</v>
      </c>
      <c r="N19" s="522">
        <f>+$F$19*N17*(1+'SITE Model - INPUT PARAMETERS'!$C$29)^(L$16-1)</f>
        <v>114349.66811432528</v>
      </c>
      <c r="O19" s="522">
        <f>+$F$19*O17*(1+'SITE Model - INPUT PARAMETERS'!$C$29)^(M$16-1)</f>
        <v>115493.16479546853</v>
      </c>
      <c r="P19" s="522">
        <f>+$F$19*P17*(1+'SITE Model - INPUT PARAMETERS'!$C$29)^(N$16-1)</f>
        <v>116648.09644342322</v>
      </c>
      <c r="Q19" s="522">
        <f>+$F$19*Q17*(1+'SITE Model - INPUT PARAMETERS'!$C$29)^(O$16-1)</f>
        <v>117814.57740785743</v>
      </c>
      <c r="R19" s="522">
        <f>+$F$19*R17*(1+'SITE Model - INPUT PARAMETERS'!$C$29)^(P$16-1)</f>
        <v>118992.723181936</v>
      </c>
      <c r="S19" s="522">
        <f>+$F$19*S17*(1+'SITE Model - INPUT PARAMETERS'!$C$29)^(Q$16-1)</f>
        <v>120182.65041375537</v>
      </c>
      <c r="T19" s="522">
        <f>+$F$19*T17*(1+'SITE Model - INPUT PARAMETERS'!$C$29)^(R$16-1)</f>
        <v>121384.47691789294</v>
      </c>
      <c r="U19" s="522">
        <f>+$F$19*U17*(1+'SITE Model - INPUT PARAMETERS'!$C$29)^(S$16-1)</f>
        <v>122598.32168707183</v>
      </c>
      <c r="V19" s="522">
        <f>+$F$19*V17*(1+'SITE Model - INPUT PARAMETERS'!$C$29)^(T$16-1)</f>
        <v>123824.3049039426</v>
      </c>
      <c r="W19" s="522">
        <f>+$F$19*W17*(1+'SITE Model - INPUT PARAMETERS'!$C$29)^(U$16-1)</f>
        <v>125062.54795298203</v>
      </c>
      <c r="X19" s="522">
        <f>+$F$19*X17*(1+'SITE Model - INPUT PARAMETERS'!$C$29)^(V$16-1)</f>
        <v>126313.17343251185</v>
      </c>
      <c r="Y19" s="522">
        <f>+$F$19*Y17*(1+'SITE Model - INPUT PARAMETERS'!$C$29)^(W$16-1)</f>
        <v>127576.30516683694</v>
      </c>
      <c r="Z19" s="522">
        <f>+$F$19*Z17*(1+'SITE Model - INPUT PARAMETERS'!$C$29)^(X$16-1)</f>
        <v>128852.06821850532</v>
      </c>
      <c r="AA19" s="522">
        <f>+$F$19*AA17*(1+'SITE Model - INPUT PARAMETERS'!$C$29)^(Y$16-1)</f>
        <v>130140.58890069036</v>
      </c>
      <c r="AB19" s="522">
        <f>+$F$19*AB17*(1+'SITE Model - INPUT PARAMETERS'!$C$29)^(Z$16-1)</f>
        <v>131441.99478969729</v>
      </c>
      <c r="AC19" s="522">
        <f>+$F$19*AC17*(1+'SITE Model - INPUT PARAMETERS'!$C$29)^(AA$16-1)</f>
        <v>132756.41473759426</v>
      </c>
    </row>
    <row r="20" spans="2:29" ht="15" thickBot="1" x14ac:dyDescent="0.35">
      <c r="B20" s="415" t="s">
        <v>130</v>
      </c>
      <c r="F20" s="522">
        <f>+E11*F17</f>
        <v>95040</v>
      </c>
      <c r="G20" s="522">
        <f>+$F$20*G17*(1+'SITE Model - INPUT PARAMETERS'!$C$29)^(E$16-1)</f>
        <v>95990.399999999994</v>
      </c>
      <c r="H20" s="522">
        <f>+$F$20*H17*(1+'SITE Model - INPUT PARAMETERS'!$C$29)^(F$16-1)</f>
        <v>96950.304000000004</v>
      </c>
      <c r="I20" s="522">
        <f>+$F$20*I17*(1+'SITE Model - INPUT PARAMETERS'!$C$29)^(G$16-1)</f>
        <v>97919.807039999985</v>
      </c>
      <c r="J20" s="522">
        <f>+$F$20*J17*(1+'SITE Model - INPUT PARAMETERS'!$C$29)^(H$16-1)</f>
        <v>98899.005110400001</v>
      </c>
      <c r="K20" s="522">
        <f>+$F$20*K17*(1+'SITE Model - INPUT PARAMETERS'!$C$29)^(I$16-1)</f>
        <v>99887.99516150399</v>
      </c>
      <c r="L20" s="522">
        <f>+$F$20*L17*(1+'SITE Model - INPUT PARAMETERS'!$C$29)^(J$16-1)</f>
        <v>100886.87511311905</v>
      </c>
      <c r="M20" s="522">
        <f>+$F$20*M17*(1+'SITE Model - INPUT PARAMETERS'!$C$29)^(K$16-1)</f>
        <v>101895.74386425021</v>
      </c>
      <c r="N20" s="522">
        <f>+$F$20*N17*(1+'SITE Model - INPUT PARAMETERS'!$C$29)^(L$16-1)</f>
        <v>102914.70130289275</v>
      </c>
      <c r="O20" s="522">
        <f>+$F$20*O17*(1+'SITE Model - INPUT PARAMETERS'!$C$29)^(M$16-1)</f>
        <v>103943.84831592168</v>
      </c>
      <c r="P20" s="522">
        <f>+$F$20*P17*(1+'SITE Model - INPUT PARAMETERS'!$C$29)^(N$16-1)</f>
        <v>104983.2867990809</v>
      </c>
      <c r="Q20" s="522">
        <f>+$F$20*Q17*(1+'SITE Model - INPUT PARAMETERS'!$C$29)^(O$16-1)</f>
        <v>106033.11966707169</v>
      </c>
      <c r="R20" s="522">
        <f>+$F$20*R17*(1+'SITE Model - INPUT PARAMETERS'!$C$29)^(P$16-1)</f>
        <v>107093.4508637424</v>
      </c>
      <c r="S20" s="522">
        <f>+$F$20*S17*(1+'SITE Model - INPUT PARAMETERS'!$C$29)^(Q$16-1)</f>
        <v>108164.38537237984</v>
      </c>
      <c r="T20" s="522">
        <f>+$F$20*T17*(1+'SITE Model - INPUT PARAMETERS'!$C$29)^(R$16-1)</f>
        <v>109246.02922610365</v>
      </c>
      <c r="U20" s="522">
        <f>+$F$20*U17*(1+'SITE Model - INPUT PARAMETERS'!$C$29)^(S$16-1)</f>
        <v>110338.48951836466</v>
      </c>
      <c r="V20" s="522">
        <f>+$F$20*V17*(1+'SITE Model - INPUT PARAMETERS'!$C$29)^(T$16-1)</f>
        <v>111441.87441354833</v>
      </c>
      <c r="W20" s="522">
        <f>+$F$20*W17*(1+'SITE Model - INPUT PARAMETERS'!$C$29)^(U$16-1)</f>
        <v>112556.29315768382</v>
      </c>
      <c r="X20" s="522">
        <f>+$F$20*X17*(1+'SITE Model - INPUT PARAMETERS'!$C$29)^(V$16-1)</f>
        <v>113681.85608926066</v>
      </c>
      <c r="Y20" s="522">
        <f>+$F$20*Y17*(1+'SITE Model - INPUT PARAMETERS'!$C$29)^(W$16-1)</f>
        <v>114818.67465015325</v>
      </c>
      <c r="Z20" s="522">
        <f>+$F$20*Z17*(1+'SITE Model - INPUT PARAMETERS'!$C$29)^(X$16-1)</f>
        <v>115966.86139665479</v>
      </c>
      <c r="AA20" s="522">
        <f>+$F$20*AA17*(1+'SITE Model - INPUT PARAMETERS'!$C$29)^(Y$16-1)</f>
        <v>117126.53001062133</v>
      </c>
      <c r="AB20" s="522">
        <f>+$F$20*AB17*(1+'SITE Model - INPUT PARAMETERS'!$C$29)^(Z$16-1)</f>
        <v>118297.79531072757</v>
      </c>
      <c r="AC20" s="522">
        <f>+$F$20*AC17*(1+'SITE Model - INPUT PARAMETERS'!$C$29)^(AA$16-1)</f>
        <v>119480.77326383482</v>
      </c>
    </row>
    <row r="21" spans="2:29" ht="28.05" customHeight="1" thickBot="1" x14ac:dyDescent="0.35">
      <c r="B21" s="430" t="s">
        <v>188</v>
      </c>
      <c r="C21" s="431"/>
      <c r="D21" s="521"/>
      <c r="E21" s="521"/>
      <c r="F21" s="523">
        <f>SUM(F18:F20)</f>
        <v>1045440</v>
      </c>
      <c r="G21" s="523">
        <f>SUM(G18:G20)</f>
        <v>1055894.3999999999</v>
      </c>
      <c r="H21" s="523">
        <f>SUM(H18:H20)</f>
        <v>1066453.344</v>
      </c>
      <c r="I21" s="523">
        <f>SUM(I18:I20)</f>
        <v>1077117.87744</v>
      </c>
      <c r="J21" s="523">
        <f>SUM(J18:J20)</f>
        <v>1087889.0562144001</v>
      </c>
      <c r="K21" s="523">
        <f>SUM(K18:K20)</f>
        <v>1098767.946776544</v>
      </c>
      <c r="L21" s="523">
        <f>SUM(L18:L20)</f>
        <v>1109755.6262443096</v>
      </c>
      <c r="M21" s="523">
        <f>SUM(M18:M20)</f>
        <v>1120853.1825067524</v>
      </c>
      <c r="N21" s="523">
        <f>SUM(N18:N20)</f>
        <v>1132061.7143318201</v>
      </c>
      <c r="O21" s="523">
        <f>SUM(O18:O20)</f>
        <v>1143382.3314751384</v>
      </c>
      <c r="P21" s="523">
        <f>SUM(P18:P20)</f>
        <v>1154816.1547898899</v>
      </c>
      <c r="Q21" s="523">
        <f>SUM(Q18:Q20)</f>
        <v>1166364.3163377885</v>
      </c>
      <c r="R21" s="523">
        <f>SUM(R18:R20)</f>
        <v>1178027.9595011666</v>
      </c>
      <c r="S21" s="523">
        <f>SUM(S18:S20)</f>
        <v>1189808.2390961782</v>
      </c>
      <c r="T21" s="523">
        <f>SUM(T18:T20)</f>
        <v>1201706.3214871401</v>
      </c>
      <c r="U21" s="523">
        <f>SUM(U18:U20)</f>
        <v>1213723.3847020112</v>
      </c>
      <c r="V21" s="523">
        <f>SUM(V18:V20)</f>
        <v>1225860.6185490317</v>
      </c>
      <c r="W21" s="523">
        <f>SUM(W18:W20)</f>
        <v>1238119.2247345222</v>
      </c>
      <c r="X21" s="523">
        <f>SUM(X18:X20)</f>
        <v>1250500.4169818673</v>
      </c>
      <c r="Y21" s="523">
        <f>SUM(Y18:Y20)</f>
        <v>1263005.4211516855</v>
      </c>
      <c r="Z21" s="523">
        <f>SUM(Z18:Z20)</f>
        <v>1275635.4753632026</v>
      </c>
      <c r="AA21" s="523">
        <f>SUM(AA18:AA20)</f>
        <v>1288391.8301168345</v>
      </c>
      <c r="AB21" s="523">
        <f>SUM(AB18:AB20)</f>
        <v>1301275.7484180031</v>
      </c>
      <c r="AC21" s="523">
        <f>SUM(AC18:AC20)</f>
        <v>1314288.5059021832</v>
      </c>
    </row>
  </sheetData>
  <mergeCells count="3">
    <mergeCell ref="B2:F2"/>
    <mergeCell ref="B4:F4"/>
    <mergeCell ref="B16:C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10DC3-6D7A-46C8-9DFB-5CF20A142D04}">
  <dimension ref="B2:AF21"/>
  <sheetViews>
    <sheetView topLeftCell="A10" workbookViewId="0">
      <selection activeCell="E21" sqref="E21"/>
    </sheetView>
  </sheetViews>
  <sheetFormatPr defaultColWidth="11.44140625" defaultRowHeight="14.4" x14ac:dyDescent="0.3"/>
  <cols>
    <col min="1" max="1" width="3.77734375" customWidth="1"/>
    <col min="2" max="2" width="27.77734375" customWidth="1"/>
    <col min="3" max="3" width="18.21875" bestFit="1" customWidth="1"/>
    <col min="4" max="4" width="16.21875" customWidth="1"/>
    <col min="5" max="5" width="18.44140625" customWidth="1"/>
    <col min="6" max="6" width="16.21875" customWidth="1"/>
    <col min="7" max="7" width="13.21875" bestFit="1" customWidth="1"/>
    <col min="8" max="8" width="15.5546875" customWidth="1"/>
    <col min="9" max="9" width="17.77734375" customWidth="1"/>
    <col min="10" max="10" width="16.44140625" customWidth="1"/>
    <col min="11" max="11" width="17.77734375" customWidth="1"/>
    <col min="12" max="12" width="17.44140625" customWidth="1"/>
    <col min="13" max="13" width="15.21875" customWidth="1"/>
    <col min="14" max="14" width="15" customWidth="1"/>
    <col min="15" max="15" width="17.77734375" customWidth="1"/>
    <col min="16" max="16" width="18.44140625" customWidth="1"/>
    <col min="17" max="17" width="18.77734375" customWidth="1"/>
    <col min="18" max="18" width="16.21875" customWidth="1"/>
    <col min="19" max="19" width="17.21875" bestFit="1" customWidth="1"/>
    <col min="20" max="20" width="18.5546875" bestFit="1" customWidth="1"/>
    <col min="21" max="21" width="19.77734375" customWidth="1"/>
    <col min="22" max="36" width="16.21875" customWidth="1"/>
  </cols>
  <sheetData>
    <row r="2" spans="2:32" ht="17.399999999999999" x14ac:dyDescent="0.3">
      <c r="B2" s="552" t="s">
        <v>180</v>
      </c>
      <c r="C2" s="552"/>
      <c r="D2" s="552"/>
      <c r="E2" s="552"/>
      <c r="F2" s="552"/>
      <c r="G2" s="432"/>
      <c r="H2" s="432"/>
    </row>
    <row r="3" spans="2:32" ht="18" thickBot="1" x14ac:dyDescent="0.35">
      <c r="B3" s="410"/>
      <c r="C3" s="410"/>
      <c r="D3" s="410"/>
      <c r="E3" s="410"/>
      <c r="F3" s="410"/>
    </row>
    <row r="4" spans="2:32" s="1" customFormat="1" ht="18.600000000000001" customHeight="1" thickBot="1" x14ac:dyDescent="0.3">
      <c r="B4" s="553" t="s">
        <v>199</v>
      </c>
      <c r="C4" s="554"/>
      <c r="D4" s="554"/>
      <c r="E4" s="554"/>
      <c r="F4" s="555"/>
      <c r="G4" s="411"/>
      <c r="H4" s="411"/>
      <c r="I4" s="411"/>
      <c r="J4" s="2"/>
      <c r="K4" s="2"/>
      <c r="L4" s="2"/>
    </row>
    <row r="5" spans="2:32" s="1" customFormat="1" ht="21.75" customHeight="1" thickBot="1" x14ac:dyDescent="0.35">
      <c r="B5" s="395" t="s">
        <v>0</v>
      </c>
      <c r="C5" s="396" t="s">
        <v>128</v>
      </c>
      <c r="D5" s="395" t="s">
        <v>129</v>
      </c>
      <c r="E5" s="395" t="s">
        <v>181</v>
      </c>
      <c r="F5" s="412" t="s">
        <v>182</v>
      </c>
      <c r="H5" s="58"/>
      <c r="I5" s="62"/>
      <c r="J5" s="33"/>
      <c r="K5" s="2"/>
      <c r="L5" s="2"/>
    </row>
    <row r="6" spans="2:32" s="1" customFormat="1" ht="15" thickBot="1" x14ac:dyDescent="0.35">
      <c r="B6" s="437" t="s">
        <v>183</v>
      </c>
      <c r="C6" s="397">
        <v>0.7</v>
      </c>
      <c r="D6" s="398">
        <v>0.2</v>
      </c>
      <c r="E6" s="399">
        <v>0.1</v>
      </c>
      <c r="F6" s="436"/>
      <c r="H6" s="58"/>
      <c r="I6" s="62"/>
      <c r="J6" s="33"/>
      <c r="K6" s="2"/>
      <c r="L6" s="2"/>
    </row>
    <row r="7" spans="2:32" s="1" customFormat="1" x14ac:dyDescent="0.3">
      <c r="B7" s="433"/>
      <c r="C7" s="401"/>
      <c r="D7" s="402" t="s">
        <v>0</v>
      </c>
      <c r="E7" s="401"/>
      <c r="F7" s="434"/>
      <c r="H7" s="58"/>
      <c r="I7" s="62"/>
      <c r="J7" s="33"/>
      <c r="K7" s="2"/>
      <c r="L7" s="2"/>
    </row>
    <row r="8" spans="2:32" s="1" customFormat="1" x14ac:dyDescent="0.3">
      <c r="B8" s="400" t="s">
        <v>184</v>
      </c>
      <c r="C8" s="475">
        <f>40*22*30</f>
        <v>26400</v>
      </c>
      <c r="D8" s="476">
        <f>20*20*10</f>
        <v>4000</v>
      </c>
      <c r="E8" s="476">
        <f>(C8+D8)*E6</f>
        <v>3040</v>
      </c>
      <c r="F8" s="477">
        <f>SUM(C8:E8)</f>
        <v>33440</v>
      </c>
      <c r="H8" s="58"/>
      <c r="I8" s="62"/>
      <c r="J8" s="33"/>
      <c r="K8" s="2"/>
      <c r="L8" s="2"/>
    </row>
    <row r="9" spans="2:32" s="1" customFormat="1" ht="15.6" customHeight="1" x14ac:dyDescent="0.3">
      <c r="B9" s="435"/>
      <c r="C9" s="478"/>
      <c r="D9" s="479"/>
      <c r="E9" s="479"/>
      <c r="F9" s="480"/>
      <c r="H9" s="58"/>
      <c r="I9" s="62"/>
      <c r="J9" s="33"/>
      <c r="K9" s="2"/>
      <c r="L9" s="2"/>
    </row>
    <row r="10" spans="2:32" s="1" customFormat="1" ht="15" customHeight="1" x14ac:dyDescent="0.3">
      <c r="B10" s="403"/>
      <c r="C10" s="481"/>
      <c r="D10" s="479"/>
      <c r="E10" s="479"/>
      <c r="F10" s="480"/>
      <c r="H10" s="58"/>
      <c r="I10" s="59"/>
      <c r="J10" s="2"/>
      <c r="K10" s="2"/>
      <c r="L10" s="2"/>
    </row>
    <row r="11" spans="2:32" s="1" customFormat="1" ht="15" customHeight="1" thickBot="1" x14ac:dyDescent="0.35">
      <c r="B11" s="404" t="s">
        <v>185</v>
      </c>
      <c r="C11" s="482">
        <f>C8*12</f>
        <v>316800</v>
      </c>
      <c r="D11" s="482">
        <f>D8*12</f>
        <v>48000</v>
      </c>
      <c r="E11" s="482">
        <f>E8*12</f>
        <v>36480</v>
      </c>
      <c r="F11" s="483">
        <f>+E11+D11+C11</f>
        <v>401280</v>
      </c>
      <c r="H11" s="58"/>
      <c r="I11" s="59"/>
      <c r="J11" s="2"/>
      <c r="K11" s="2"/>
      <c r="L11" s="2"/>
    </row>
    <row r="12" spans="2:32" s="1" customFormat="1" x14ac:dyDescent="0.3">
      <c r="B12" s="268"/>
      <c r="C12" s="405"/>
      <c r="D12" s="406"/>
      <c r="E12" s="407" t="s">
        <v>0</v>
      </c>
      <c r="F12" s="407"/>
      <c r="G12" s="44"/>
      <c r="H12" s="44"/>
      <c r="I12" s="44"/>
      <c r="J12" s="44"/>
      <c r="K12" s="44"/>
      <c r="L12" s="44"/>
      <c r="M12" s="44"/>
      <c r="N12" s="49"/>
      <c r="O12" s="293"/>
      <c r="P12" s="51"/>
      <c r="Q12" s="45"/>
      <c r="R12" s="45"/>
      <c r="S12" s="45"/>
      <c r="T12" s="34"/>
      <c r="U12" s="31"/>
      <c r="V12" s="50"/>
      <c r="W12" s="2"/>
      <c r="X12" s="2"/>
      <c r="Y12" s="2"/>
    </row>
    <row r="15" spans="2:32" ht="15" customHeight="1" thickBot="1" x14ac:dyDescent="0.35"/>
    <row r="16" spans="2:32" s="11" customFormat="1" ht="30.75" customHeight="1" x14ac:dyDescent="0.3">
      <c r="B16" s="550" t="s">
        <v>186</v>
      </c>
      <c r="C16" s="551"/>
      <c r="D16" s="36">
        <v>1</v>
      </c>
      <c r="E16" s="36">
        <f>D16+1</f>
        <v>2</v>
      </c>
      <c r="F16" s="36">
        <f t="shared" ref="F16:AB16" si="0">E16+1</f>
        <v>3</v>
      </c>
      <c r="G16" s="36">
        <f t="shared" si="0"/>
        <v>4</v>
      </c>
      <c r="H16" s="36">
        <f t="shared" si="0"/>
        <v>5</v>
      </c>
      <c r="I16" s="36">
        <f t="shared" si="0"/>
        <v>6</v>
      </c>
      <c r="J16" s="36">
        <f t="shared" si="0"/>
        <v>7</v>
      </c>
      <c r="K16" s="36">
        <f>J16+1</f>
        <v>8</v>
      </c>
      <c r="L16" s="36">
        <f t="shared" si="0"/>
        <v>9</v>
      </c>
      <c r="M16" s="36">
        <f t="shared" si="0"/>
        <v>10</v>
      </c>
      <c r="N16" s="36">
        <f t="shared" si="0"/>
        <v>11</v>
      </c>
      <c r="O16" s="36">
        <f t="shared" si="0"/>
        <v>12</v>
      </c>
      <c r="P16" s="36">
        <f t="shared" si="0"/>
        <v>13</v>
      </c>
      <c r="Q16" s="36">
        <f t="shared" si="0"/>
        <v>14</v>
      </c>
      <c r="R16" s="36">
        <f t="shared" si="0"/>
        <v>15</v>
      </c>
      <c r="S16" s="36">
        <f>R16+1</f>
        <v>16</v>
      </c>
      <c r="T16" s="36">
        <f>S16+1</f>
        <v>17</v>
      </c>
      <c r="U16" s="36">
        <f t="shared" si="0"/>
        <v>18</v>
      </c>
      <c r="V16" s="36">
        <f t="shared" si="0"/>
        <v>19</v>
      </c>
      <c r="W16" s="37">
        <f t="shared" si="0"/>
        <v>20</v>
      </c>
      <c r="X16" s="37">
        <f t="shared" si="0"/>
        <v>21</v>
      </c>
      <c r="Y16" s="37">
        <f t="shared" si="0"/>
        <v>22</v>
      </c>
      <c r="Z16" s="37">
        <f t="shared" si="0"/>
        <v>23</v>
      </c>
      <c r="AA16" s="408">
        <f t="shared" si="0"/>
        <v>24</v>
      </c>
      <c r="AB16" s="409">
        <f t="shared" si="0"/>
        <v>25</v>
      </c>
      <c r="AC16" s="1"/>
      <c r="AD16" s="1"/>
      <c r="AE16" s="1"/>
      <c r="AF16" s="1"/>
    </row>
    <row r="17" spans="2:30" ht="30.75" customHeight="1" x14ac:dyDescent="0.3">
      <c r="B17" s="380" t="s">
        <v>132</v>
      </c>
      <c r="F17" s="441">
        <v>1</v>
      </c>
      <c r="G17" s="441">
        <v>1</v>
      </c>
      <c r="H17" s="441">
        <v>1</v>
      </c>
      <c r="I17" s="441">
        <v>1</v>
      </c>
      <c r="J17" s="441">
        <v>1</v>
      </c>
      <c r="K17" s="441">
        <v>1</v>
      </c>
      <c r="L17" s="441">
        <v>1</v>
      </c>
      <c r="M17" s="441">
        <v>1</v>
      </c>
      <c r="N17" s="441">
        <v>1</v>
      </c>
      <c r="O17" s="441">
        <v>1</v>
      </c>
      <c r="P17" s="441">
        <v>1</v>
      </c>
      <c r="Q17" s="441">
        <v>1</v>
      </c>
      <c r="R17" s="441">
        <v>1</v>
      </c>
      <c r="S17" s="441">
        <v>1</v>
      </c>
      <c r="T17" s="441">
        <v>1</v>
      </c>
      <c r="U17" s="441">
        <v>1</v>
      </c>
      <c r="V17" s="441">
        <v>1</v>
      </c>
      <c r="W17" s="441">
        <v>1</v>
      </c>
      <c r="X17" s="441">
        <v>1</v>
      </c>
      <c r="Y17" s="441">
        <v>1</v>
      </c>
      <c r="Z17" s="441">
        <v>1</v>
      </c>
      <c r="AA17" s="441">
        <v>1</v>
      </c>
      <c r="AB17" s="441">
        <v>1</v>
      </c>
      <c r="AC17" s="441">
        <v>1</v>
      </c>
      <c r="AD17" s="441">
        <v>1</v>
      </c>
    </row>
    <row r="18" spans="2:30" x14ac:dyDescent="0.3">
      <c r="B18" s="415" t="s">
        <v>187</v>
      </c>
      <c r="F18" s="522">
        <f>+C11*F17</f>
        <v>316800</v>
      </c>
      <c r="G18" s="522">
        <f>+$F$18*G17*(1+'SITE Model - INPUT PARAMETERS'!$C$29)^(E$16-1)</f>
        <v>319968</v>
      </c>
      <c r="H18" s="522">
        <f>+$F$18*H17*(1+'SITE Model - INPUT PARAMETERS'!$C$29)^(F$16-1)</f>
        <v>323167.68</v>
      </c>
      <c r="I18" s="522">
        <f>+$F$18*I17*(1+'SITE Model - INPUT PARAMETERS'!$C$29)^(G$16-1)</f>
        <v>326399.35679999995</v>
      </c>
      <c r="J18" s="522">
        <f>+$F$18*J17*(1+'SITE Model - INPUT PARAMETERS'!$C$29)^(H$16-1)</f>
        <v>329663.35036799998</v>
      </c>
      <c r="K18" s="522">
        <f>+$F$18*K17*(1+'SITE Model - INPUT PARAMETERS'!$C$29)^(I$16-1)</f>
        <v>332959.98387167999</v>
      </c>
      <c r="L18" s="522">
        <f>+$F$18*L17*(1+'SITE Model - INPUT PARAMETERS'!$C$29)^(J$16-1)</f>
        <v>336289.58371039684</v>
      </c>
      <c r="M18" s="522">
        <f>+$F$18*M17*(1+'SITE Model - INPUT PARAMETERS'!$C$29)^(K$16-1)</f>
        <v>339652.47954750073</v>
      </c>
      <c r="N18" s="522">
        <f>+$F$18*N17*(1+'SITE Model - INPUT PARAMETERS'!$C$29)^(L$16-1)</f>
        <v>343049.00434297579</v>
      </c>
      <c r="O18" s="522">
        <f>+$F$18*O17*(1+'SITE Model - INPUT PARAMETERS'!$C$29)^(M$16-1)</f>
        <v>346479.49438640563</v>
      </c>
      <c r="P18" s="522">
        <f>+$F$18*P17*(1+'SITE Model - INPUT PARAMETERS'!$C$29)^(N$16-1)</f>
        <v>349944.28933026968</v>
      </c>
      <c r="Q18" s="522">
        <f>+$F$18*Q17*(1+'SITE Model - INPUT PARAMETERS'!$C$29)^(O$16-1)</f>
        <v>353443.73222357227</v>
      </c>
      <c r="R18" s="522">
        <f>+$F$18*R17*(1+'SITE Model - INPUT PARAMETERS'!$C$29)^(P$16-1)</f>
        <v>356978.16954580805</v>
      </c>
      <c r="S18" s="522">
        <f>+$F$18*S17*(1+'SITE Model - INPUT PARAMETERS'!$C$29)^(Q$16-1)</f>
        <v>360547.9512412661</v>
      </c>
      <c r="T18" s="522">
        <f>+$F$18*T17*(1+'SITE Model - INPUT PARAMETERS'!$C$29)^(R$16-1)</f>
        <v>364153.43075367884</v>
      </c>
      <c r="U18" s="522">
        <f>+$F$18*U17*(1+'SITE Model - INPUT PARAMETERS'!$C$29)^(S$16-1)</f>
        <v>367794.96506121551</v>
      </c>
      <c r="V18" s="522">
        <f>+$F$18*V17*(1+'SITE Model - INPUT PARAMETERS'!$C$29)^(T$16-1)</f>
        <v>371472.91471182776</v>
      </c>
      <c r="W18" s="522">
        <f>+$F$18*W17*(1+'SITE Model - INPUT PARAMETERS'!$C$29)^(U$16-1)</f>
        <v>375187.64385894604</v>
      </c>
      <c r="X18" s="522">
        <f>+$F$18*X17*(1+'SITE Model - INPUT PARAMETERS'!$C$29)^(V$16-1)</f>
        <v>378939.52029753552</v>
      </c>
      <c r="Y18" s="522">
        <f>+$F$18*Y17*(1+'SITE Model - INPUT PARAMETERS'!$C$29)^(W$16-1)</f>
        <v>382728.91550051083</v>
      </c>
      <c r="Z18" s="522">
        <f>+$F$18*Z17*(1+'SITE Model - INPUT PARAMETERS'!$C$29)^(X$16-1)</f>
        <v>386556.20465551596</v>
      </c>
      <c r="AA18" s="522">
        <f>+$F$18*AA17*(1+'SITE Model - INPUT PARAMETERS'!$C$29)^(Y$16-1)</f>
        <v>390421.76670207107</v>
      </c>
      <c r="AB18" s="522">
        <f>+$F$18*AB17*(1+'SITE Model - INPUT PARAMETERS'!$C$29)^(Z$16-1)</f>
        <v>394325.98436909186</v>
      </c>
      <c r="AC18" s="522">
        <f>+$F$18*AC17*(1+'SITE Model - INPUT PARAMETERS'!$C$29)^(AA$16-1)</f>
        <v>398269.24421278277</v>
      </c>
      <c r="AD18" s="522">
        <f>+$F$18*AD17*(1+'SITE Model - INPUT PARAMETERS'!$C$29)^(AB$16-1)</f>
        <v>402251.93665491068</v>
      </c>
    </row>
    <row r="19" spans="2:30" x14ac:dyDescent="0.3">
      <c r="B19" s="415" t="s">
        <v>129</v>
      </c>
      <c r="F19" s="522">
        <f>+D11*F17</f>
        <v>48000</v>
      </c>
      <c r="G19" s="522">
        <f>+$F$19*G17*(1+'SITE Model - INPUT PARAMETERS'!$C$29)^(E$16-1)</f>
        <v>48480</v>
      </c>
      <c r="H19" s="522">
        <f>+$F$19*H17*(1+'SITE Model - INPUT PARAMETERS'!$C$29)^(F$16-1)</f>
        <v>48964.800000000003</v>
      </c>
      <c r="I19" s="522">
        <f>+$F$19*I17*(1+'SITE Model - INPUT PARAMETERS'!$C$29)^(G$16-1)</f>
        <v>49454.447999999997</v>
      </c>
      <c r="J19" s="522">
        <f>+$F$19*J17*(1+'SITE Model - INPUT PARAMETERS'!$C$29)^(H$16-1)</f>
        <v>49948.992480000001</v>
      </c>
      <c r="K19" s="522">
        <f>+$F$19*K17*(1+'SITE Model - INPUT PARAMETERS'!$C$29)^(I$16-1)</f>
        <v>50448.482404799994</v>
      </c>
      <c r="L19" s="522">
        <f>+$F$19*L17*(1+'SITE Model - INPUT PARAMETERS'!$C$29)^(J$16-1)</f>
        <v>50952.967228848007</v>
      </c>
      <c r="M19" s="522">
        <f>+$F$19*M17*(1+'SITE Model - INPUT PARAMETERS'!$C$29)^(K$16-1)</f>
        <v>51462.496901136474</v>
      </c>
      <c r="N19" s="522">
        <f>+$F$19*N17*(1+'SITE Model - INPUT PARAMETERS'!$C$29)^(L$16-1)</f>
        <v>51977.12187014785</v>
      </c>
      <c r="O19" s="522">
        <f>+$F$19*O17*(1+'SITE Model - INPUT PARAMETERS'!$C$29)^(M$16-1)</f>
        <v>52496.893088849334</v>
      </c>
      <c r="P19" s="522">
        <f>+$F$19*P17*(1+'SITE Model - INPUT PARAMETERS'!$C$29)^(N$16-1)</f>
        <v>53021.862019737826</v>
      </c>
      <c r="Q19" s="522">
        <f>+$F$19*Q17*(1+'SITE Model - INPUT PARAMETERS'!$C$29)^(O$16-1)</f>
        <v>53552.080639935193</v>
      </c>
      <c r="R19" s="522">
        <f>+$F$19*R17*(1+'SITE Model - INPUT PARAMETERS'!$C$29)^(P$16-1)</f>
        <v>54087.601446334549</v>
      </c>
      <c r="S19" s="522">
        <f>+$F$19*S17*(1+'SITE Model - INPUT PARAMETERS'!$C$29)^(Q$16-1)</f>
        <v>54628.477460797898</v>
      </c>
      <c r="T19" s="522">
        <f>+$F$19*T17*(1+'SITE Model - INPUT PARAMETERS'!$C$29)^(R$16-1)</f>
        <v>55174.762235405884</v>
      </c>
      <c r="U19" s="522">
        <f>+$F$19*U17*(1+'SITE Model - INPUT PARAMETERS'!$C$29)^(S$16-1)</f>
        <v>55726.509857759927</v>
      </c>
      <c r="V19" s="522">
        <f>+$F$19*V17*(1+'SITE Model - INPUT PARAMETERS'!$C$29)^(T$16-1)</f>
        <v>56283.77495633754</v>
      </c>
      <c r="W19" s="522">
        <f>+$F$19*W17*(1+'SITE Model - INPUT PARAMETERS'!$C$29)^(U$16-1)</f>
        <v>56846.612705900923</v>
      </c>
      <c r="X19" s="522">
        <f>+$F$19*X17*(1+'SITE Model - INPUT PARAMETERS'!$C$29)^(V$16-1)</f>
        <v>57415.078832959931</v>
      </c>
      <c r="Y19" s="522">
        <f>+$F$19*Y17*(1+'SITE Model - INPUT PARAMETERS'!$C$29)^(W$16-1)</f>
        <v>57989.229621289516</v>
      </c>
      <c r="Z19" s="522">
        <f>+$F$19*Z17*(1+'SITE Model - INPUT PARAMETERS'!$C$29)^(X$16-1)</f>
        <v>58569.121917502416</v>
      </c>
      <c r="AA19" s="522">
        <f>+$F$19*AA17*(1+'SITE Model - INPUT PARAMETERS'!$C$29)^(Y$16-1)</f>
        <v>59154.81313667744</v>
      </c>
      <c r="AB19" s="522">
        <f>+$F$19*AB17*(1+'SITE Model - INPUT PARAMETERS'!$C$29)^(Z$16-1)</f>
        <v>59746.361268044224</v>
      </c>
      <c r="AC19" s="522">
        <f>+$F$19*AC17*(1+'SITE Model - INPUT PARAMETERS'!$C$29)^(AA$16-1)</f>
        <v>60343.824880724656</v>
      </c>
      <c r="AD19" s="522">
        <f>+$F$19*AD17*(1+'SITE Model - INPUT PARAMETERS'!$C$29)^(AB$16-1)</f>
        <v>60947.263129531922</v>
      </c>
    </row>
    <row r="20" spans="2:30" ht="15" thickBot="1" x14ac:dyDescent="0.35">
      <c r="B20" s="415" t="s">
        <v>130</v>
      </c>
      <c r="F20" s="522">
        <f>+E11*F17</f>
        <v>36480</v>
      </c>
      <c r="G20" s="522">
        <f>+$F$20*G17*(1+'SITE Model - INPUT PARAMETERS'!$C$29)^(E$16-1)</f>
        <v>36844.800000000003</v>
      </c>
      <c r="H20" s="522">
        <f>+$F$20*H17*(1+'SITE Model - INPUT PARAMETERS'!$C$29)^(F$16-1)</f>
        <v>37213.248</v>
      </c>
      <c r="I20" s="522">
        <f>+$F$20*I17*(1+'SITE Model - INPUT PARAMETERS'!$C$29)^(G$16-1)</f>
        <v>37585.38048</v>
      </c>
      <c r="J20" s="522">
        <f>+$F$20*J17*(1+'SITE Model - INPUT PARAMETERS'!$C$29)^(H$16-1)</f>
        <v>37961.234284800004</v>
      </c>
      <c r="K20" s="522">
        <f>+$F$20*K17*(1+'SITE Model - INPUT PARAMETERS'!$C$29)^(I$16-1)</f>
        <v>38340.846627647996</v>
      </c>
      <c r="L20" s="522">
        <f>+$F$20*L17*(1+'SITE Model - INPUT PARAMETERS'!$C$29)^(J$16-1)</f>
        <v>38724.255093924483</v>
      </c>
      <c r="M20" s="522">
        <f>+$F$20*M17*(1+'SITE Model - INPUT PARAMETERS'!$C$29)^(K$16-1)</f>
        <v>39111.497644863717</v>
      </c>
      <c r="N20" s="522">
        <f>+$F$20*N17*(1+'SITE Model - INPUT PARAMETERS'!$C$29)^(L$16-1)</f>
        <v>39502.612621312364</v>
      </c>
      <c r="O20" s="522">
        <f>+$F$20*O17*(1+'SITE Model - INPUT PARAMETERS'!$C$29)^(M$16-1)</f>
        <v>39897.638747525496</v>
      </c>
      <c r="P20" s="522">
        <f>+$F$20*P17*(1+'SITE Model - INPUT PARAMETERS'!$C$29)^(N$16-1)</f>
        <v>40296.615135000749</v>
      </c>
      <c r="Q20" s="522">
        <f>+$F$20*Q17*(1+'SITE Model - INPUT PARAMETERS'!$C$29)^(O$16-1)</f>
        <v>40699.581286350745</v>
      </c>
      <c r="R20" s="522">
        <f>+$F$20*R17*(1+'SITE Model - INPUT PARAMETERS'!$C$29)^(P$16-1)</f>
        <v>41106.577099214257</v>
      </c>
      <c r="S20" s="522">
        <f>+$F$20*S17*(1+'SITE Model - INPUT PARAMETERS'!$C$29)^(Q$16-1)</f>
        <v>41517.6428702064</v>
      </c>
      <c r="T20" s="522">
        <f>+$F$20*T17*(1+'SITE Model - INPUT PARAMETERS'!$C$29)^(R$16-1)</f>
        <v>41932.819298908471</v>
      </c>
      <c r="U20" s="522">
        <f>+$F$20*U17*(1+'SITE Model - INPUT PARAMETERS'!$C$29)^(S$16-1)</f>
        <v>42352.147491897544</v>
      </c>
      <c r="V20" s="522">
        <f>+$F$20*V17*(1+'SITE Model - INPUT PARAMETERS'!$C$29)^(T$16-1)</f>
        <v>42775.668966816535</v>
      </c>
      <c r="W20" s="522">
        <f>+$F$20*W17*(1+'SITE Model - INPUT PARAMETERS'!$C$29)^(U$16-1)</f>
        <v>43203.425656484702</v>
      </c>
      <c r="X20" s="522">
        <f>+$F$20*X17*(1+'SITE Model - INPUT PARAMETERS'!$C$29)^(V$16-1)</f>
        <v>43635.459913049548</v>
      </c>
      <c r="Y20" s="522">
        <f>+$F$20*Y17*(1+'SITE Model - INPUT PARAMETERS'!$C$29)^(W$16-1)</f>
        <v>44071.814512180033</v>
      </c>
      <c r="Z20" s="522">
        <f>+$F$20*Z17*(1+'SITE Model - INPUT PARAMETERS'!$C$29)^(X$16-1)</f>
        <v>44512.532657301839</v>
      </c>
      <c r="AA20" s="522">
        <f>+$F$20*AA17*(1+'SITE Model - INPUT PARAMETERS'!$C$29)^(Y$16-1)</f>
        <v>44957.657983874851</v>
      </c>
      <c r="AB20" s="522">
        <f>+$F$20*AB17*(1+'SITE Model - INPUT PARAMETERS'!$C$29)^(Z$16-1)</f>
        <v>45407.23456371361</v>
      </c>
      <c r="AC20" s="522">
        <f>+$F$20*AC17*(1+'SITE Model - INPUT PARAMETERS'!$C$29)^(AA$16-1)</f>
        <v>45861.306909350737</v>
      </c>
      <c r="AD20" s="522">
        <f>+$F$20*AD17*(1+'SITE Model - INPUT PARAMETERS'!$C$29)^(AB$16-1)</f>
        <v>46319.919978444261</v>
      </c>
    </row>
    <row r="21" spans="2:30" ht="28.05" customHeight="1" thickBot="1" x14ac:dyDescent="0.35">
      <c r="B21" s="430" t="s">
        <v>188</v>
      </c>
      <c r="C21" s="431"/>
      <c r="D21" s="521"/>
      <c r="E21" s="521"/>
      <c r="F21" s="523">
        <f>SUM(F18:F20)</f>
        <v>401280</v>
      </c>
      <c r="G21" s="523">
        <f t="shared" ref="G21:AD21" si="1">SUM(G18:G20)</f>
        <v>405292.79999999999</v>
      </c>
      <c r="H21" s="523">
        <f t="shared" si="1"/>
        <v>409345.728</v>
      </c>
      <c r="I21" s="523">
        <f t="shared" si="1"/>
        <v>413439.18527999992</v>
      </c>
      <c r="J21" s="523">
        <f t="shared" si="1"/>
        <v>417573.57713280001</v>
      </c>
      <c r="K21" s="523">
        <f t="shared" si="1"/>
        <v>421749.31290412799</v>
      </c>
      <c r="L21" s="523">
        <f t="shared" si="1"/>
        <v>425966.80603316933</v>
      </c>
      <c r="M21" s="523">
        <f t="shared" si="1"/>
        <v>430226.47409350093</v>
      </c>
      <c r="N21" s="523">
        <f t="shared" si="1"/>
        <v>434528.73883443605</v>
      </c>
      <c r="O21" s="523">
        <f t="shared" si="1"/>
        <v>438874.02622278046</v>
      </c>
      <c r="P21" s="523">
        <f t="shared" si="1"/>
        <v>443262.76648500824</v>
      </c>
      <c r="Q21" s="523">
        <f t="shared" si="1"/>
        <v>447695.39414985821</v>
      </c>
      <c r="R21" s="523">
        <f t="shared" si="1"/>
        <v>452172.34809135686</v>
      </c>
      <c r="S21" s="523">
        <f t="shared" si="1"/>
        <v>456694.07157227036</v>
      </c>
      <c r="T21" s="523">
        <f t="shared" si="1"/>
        <v>461261.01228799322</v>
      </c>
      <c r="U21" s="523">
        <f t="shared" si="1"/>
        <v>465873.62241087295</v>
      </c>
      <c r="V21" s="523">
        <f t="shared" si="1"/>
        <v>470532.35863498179</v>
      </c>
      <c r="W21" s="523">
        <f t="shared" si="1"/>
        <v>475237.68222133163</v>
      </c>
      <c r="X21" s="523">
        <f t="shared" si="1"/>
        <v>479990.05904354498</v>
      </c>
      <c r="Y21" s="523">
        <f t="shared" si="1"/>
        <v>484789.95963398041</v>
      </c>
      <c r="Z21" s="523">
        <f t="shared" si="1"/>
        <v>489637.8592303202</v>
      </c>
      <c r="AA21" s="523">
        <f t="shared" si="1"/>
        <v>494534.23782262334</v>
      </c>
      <c r="AB21" s="523">
        <f t="shared" si="1"/>
        <v>499479.58020084968</v>
      </c>
      <c r="AC21" s="523">
        <f t="shared" si="1"/>
        <v>504474.37600285816</v>
      </c>
      <c r="AD21" s="524">
        <f t="shared" si="1"/>
        <v>509519.1197628869</v>
      </c>
    </row>
  </sheetData>
  <mergeCells count="3">
    <mergeCell ref="B2:F2"/>
    <mergeCell ref="B4:F4"/>
    <mergeCell ref="B16:C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09AD-932F-414E-8A85-88D23F9D948A}">
  <dimension ref="B2:AF21"/>
  <sheetViews>
    <sheetView topLeftCell="A7" workbookViewId="0">
      <selection activeCell="E21" sqref="E21"/>
    </sheetView>
  </sheetViews>
  <sheetFormatPr defaultColWidth="11.44140625" defaultRowHeight="14.4" x14ac:dyDescent="0.3"/>
  <cols>
    <col min="1" max="1" width="3.77734375" customWidth="1"/>
    <col min="2" max="2" width="27.77734375" customWidth="1"/>
    <col min="3" max="3" width="18.21875" bestFit="1" customWidth="1"/>
    <col min="4" max="4" width="16.21875" customWidth="1"/>
    <col min="5" max="5" width="18.44140625" customWidth="1"/>
    <col min="6" max="6" width="16.21875" customWidth="1"/>
    <col min="7" max="7" width="13.21875" bestFit="1" customWidth="1"/>
    <col min="8" max="8" width="15.5546875" customWidth="1"/>
    <col min="9" max="9" width="17.77734375" customWidth="1"/>
    <col min="10" max="10" width="16.44140625" customWidth="1"/>
    <col min="11" max="11" width="17.77734375" customWidth="1"/>
    <col min="12" max="12" width="17.44140625" customWidth="1"/>
    <col min="13" max="13" width="15.21875" customWidth="1"/>
    <col min="14" max="14" width="15" customWidth="1"/>
    <col min="15" max="15" width="17.77734375" customWidth="1"/>
    <col min="16" max="16" width="18.44140625" customWidth="1"/>
    <col min="17" max="17" width="18.77734375" customWidth="1"/>
    <col min="18" max="18" width="16.21875" customWidth="1"/>
    <col min="19" max="19" width="17.21875" bestFit="1" customWidth="1"/>
    <col min="20" max="20" width="18.5546875" bestFit="1" customWidth="1"/>
    <col min="21" max="21" width="19.77734375" customWidth="1"/>
    <col min="22" max="36" width="16.21875" customWidth="1"/>
  </cols>
  <sheetData>
    <row r="2" spans="2:32" ht="17.399999999999999" x14ac:dyDescent="0.3">
      <c r="B2" s="552" t="s">
        <v>180</v>
      </c>
      <c r="C2" s="552"/>
      <c r="D2" s="552"/>
      <c r="E2" s="552"/>
      <c r="F2" s="552"/>
      <c r="G2" s="432"/>
      <c r="H2" s="432"/>
    </row>
    <row r="3" spans="2:32" ht="18" thickBot="1" x14ac:dyDescent="0.35">
      <c r="B3" s="410"/>
      <c r="C3" s="410"/>
      <c r="D3" s="410"/>
      <c r="E3" s="410"/>
      <c r="F3" s="410"/>
    </row>
    <row r="4" spans="2:32" s="1" customFormat="1" ht="18.600000000000001" customHeight="1" thickBot="1" x14ac:dyDescent="0.3">
      <c r="B4" s="553" t="s">
        <v>198</v>
      </c>
      <c r="C4" s="554"/>
      <c r="D4" s="554"/>
      <c r="E4" s="554"/>
      <c r="F4" s="555"/>
      <c r="G4" s="411"/>
      <c r="H4" s="411"/>
      <c r="I4" s="411"/>
      <c r="J4" s="2"/>
      <c r="K4" s="2"/>
      <c r="L4" s="2"/>
    </row>
    <row r="5" spans="2:32" s="1" customFormat="1" ht="21.75" customHeight="1" thickBot="1" x14ac:dyDescent="0.35">
      <c r="B5" s="395" t="s">
        <v>0</v>
      </c>
      <c r="C5" s="396" t="s">
        <v>128</v>
      </c>
      <c r="D5" s="395" t="s">
        <v>129</v>
      </c>
      <c r="E5" s="395" t="s">
        <v>181</v>
      </c>
      <c r="F5" s="412" t="s">
        <v>182</v>
      </c>
      <c r="H5" s="58"/>
      <c r="I5" s="62"/>
      <c r="J5" s="33"/>
      <c r="K5" s="2"/>
      <c r="L5" s="2"/>
    </row>
    <row r="6" spans="2:32" s="1" customFormat="1" ht="15" thickBot="1" x14ac:dyDescent="0.35">
      <c r="B6" s="437" t="s">
        <v>183</v>
      </c>
      <c r="C6" s="397">
        <v>0.7</v>
      </c>
      <c r="D6" s="398">
        <v>0.2</v>
      </c>
      <c r="E6" s="399">
        <v>0.1</v>
      </c>
      <c r="F6" s="436"/>
      <c r="H6" s="58"/>
      <c r="I6" s="62"/>
      <c r="J6" s="33"/>
      <c r="K6" s="2"/>
      <c r="L6" s="2"/>
    </row>
    <row r="7" spans="2:32" s="1" customFormat="1" x14ac:dyDescent="0.3">
      <c r="B7" s="433"/>
      <c r="C7" s="401"/>
      <c r="D7" s="402" t="s">
        <v>0</v>
      </c>
      <c r="E7" s="401"/>
      <c r="F7" s="434"/>
      <c r="H7" s="58"/>
      <c r="I7" s="62"/>
      <c r="J7" s="33"/>
      <c r="K7" s="2"/>
      <c r="L7" s="2"/>
    </row>
    <row r="8" spans="2:32" s="1" customFormat="1" x14ac:dyDescent="0.3">
      <c r="B8" s="400" t="s">
        <v>184</v>
      </c>
      <c r="C8" s="475">
        <f>50*20*30</f>
        <v>30000</v>
      </c>
      <c r="D8" s="476">
        <f>25*20*10</f>
        <v>5000</v>
      </c>
      <c r="E8" s="476">
        <f>(C8+D8)*E6</f>
        <v>3500</v>
      </c>
      <c r="F8" s="477">
        <f>SUM(C8:E8)</f>
        <v>38500</v>
      </c>
      <c r="H8" s="58"/>
      <c r="I8" s="62"/>
      <c r="J8" s="33"/>
      <c r="K8" s="2"/>
      <c r="L8" s="2"/>
    </row>
    <row r="9" spans="2:32" s="1" customFormat="1" ht="15.6" customHeight="1" x14ac:dyDescent="0.3">
      <c r="B9" s="435"/>
      <c r="C9" s="478"/>
      <c r="D9" s="479"/>
      <c r="E9" s="479"/>
      <c r="F9" s="480"/>
      <c r="H9" s="58"/>
      <c r="I9" s="62"/>
      <c r="J9" s="33"/>
      <c r="K9" s="2"/>
      <c r="L9" s="2"/>
    </row>
    <row r="10" spans="2:32" s="1" customFormat="1" ht="15" customHeight="1" x14ac:dyDescent="0.3">
      <c r="B10" s="403"/>
      <c r="C10" s="481"/>
      <c r="D10" s="479"/>
      <c r="E10" s="479"/>
      <c r="F10" s="480"/>
      <c r="H10" s="58"/>
      <c r="I10" s="59"/>
      <c r="J10" s="2"/>
      <c r="K10" s="2"/>
      <c r="L10" s="2"/>
    </row>
    <row r="11" spans="2:32" s="1" customFormat="1" ht="15" customHeight="1" thickBot="1" x14ac:dyDescent="0.35">
      <c r="B11" s="404" t="s">
        <v>185</v>
      </c>
      <c r="C11" s="482">
        <f>C8*12</f>
        <v>360000</v>
      </c>
      <c r="D11" s="482">
        <f>D8*12</f>
        <v>60000</v>
      </c>
      <c r="E11" s="482">
        <f>E8*12</f>
        <v>42000</v>
      </c>
      <c r="F11" s="483">
        <f>+E11+D11+C11</f>
        <v>462000</v>
      </c>
      <c r="H11" s="58"/>
      <c r="I11" s="59"/>
      <c r="J11" s="2"/>
      <c r="K11" s="2"/>
      <c r="L11" s="2"/>
    </row>
    <row r="12" spans="2:32" s="1" customFormat="1" x14ac:dyDescent="0.3">
      <c r="B12" s="268"/>
      <c r="C12" s="405"/>
      <c r="D12" s="406"/>
      <c r="E12" s="407" t="s">
        <v>0</v>
      </c>
      <c r="F12" s="407"/>
      <c r="G12" s="44"/>
      <c r="H12" s="44"/>
      <c r="I12" s="44"/>
      <c r="J12" s="44"/>
      <c r="K12" s="44"/>
      <c r="L12" s="44"/>
      <c r="M12" s="44"/>
      <c r="N12" s="49"/>
      <c r="O12" s="293"/>
      <c r="P12" s="51"/>
      <c r="Q12" s="45"/>
      <c r="R12" s="45"/>
      <c r="S12" s="45"/>
      <c r="T12" s="34"/>
      <c r="U12" s="31"/>
      <c r="V12" s="50"/>
      <c r="W12" s="2"/>
      <c r="X12" s="2"/>
      <c r="Y12" s="2"/>
    </row>
    <row r="15" spans="2:32" ht="15" customHeight="1" thickBot="1" x14ac:dyDescent="0.35"/>
    <row r="16" spans="2:32" s="11" customFormat="1" ht="30.75" customHeight="1" x14ac:dyDescent="0.3">
      <c r="B16" s="550" t="s">
        <v>186</v>
      </c>
      <c r="C16" s="551"/>
      <c r="D16" s="36">
        <v>1</v>
      </c>
      <c r="E16" s="36">
        <f>D16+1</f>
        <v>2</v>
      </c>
      <c r="F16" s="36">
        <f t="shared" ref="F16:AB16" si="0">E16+1</f>
        <v>3</v>
      </c>
      <c r="G16" s="36">
        <f t="shared" si="0"/>
        <v>4</v>
      </c>
      <c r="H16" s="36">
        <f t="shared" si="0"/>
        <v>5</v>
      </c>
      <c r="I16" s="36">
        <f t="shared" si="0"/>
        <v>6</v>
      </c>
      <c r="J16" s="36">
        <f t="shared" si="0"/>
        <v>7</v>
      </c>
      <c r="K16" s="36">
        <f>J16+1</f>
        <v>8</v>
      </c>
      <c r="L16" s="36">
        <f t="shared" si="0"/>
        <v>9</v>
      </c>
      <c r="M16" s="36">
        <f t="shared" si="0"/>
        <v>10</v>
      </c>
      <c r="N16" s="36">
        <f t="shared" si="0"/>
        <v>11</v>
      </c>
      <c r="O16" s="36">
        <f t="shared" si="0"/>
        <v>12</v>
      </c>
      <c r="P16" s="36">
        <f t="shared" si="0"/>
        <v>13</v>
      </c>
      <c r="Q16" s="36">
        <f t="shared" si="0"/>
        <v>14</v>
      </c>
      <c r="R16" s="36">
        <f t="shared" si="0"/>
        <v>15</v>
      </c>
      <c r="S16" s="36">
        <f>R16+1</f>
        <v>16</v>
      </c>
      <c r="T16" s="36">
        <f>S16+1</f>
        <v>17</v>
      </c>
      <c r="U16" s="36">
        <f t="shared" si="0"/>
        <v>18</v>
      </c>
      <c r="V16" s="36">
        <f t="shared" si="0"/>
        <v>19</v>
      </c>
      <c r="W16" s="37">
        <f t="shared" si="0"/>
        <v>20</v>
      </c>
      <c r="X16" s="37">
        <f t="shared" si="0"/>
        <v>21</v>
      </c>
      <c r="Y16" s="37">
        <f t="shared" si="0"/>
        <v>22</v>
      </c>
      <c r="Z16" s="37">
        <f t="shared" si="0"/>
        <v>23</v>
      </c>
      <c r="AA16" s="408">
        <f t="shared" si="0"/>
        <v>24</v>
      </c>
      <c r="AB16" s="409">
        <f t="shared" si="0"/>
        <v>25</v>
      </c>
      <c r="AC16" s="1"/>
      <c r="AD16" s="1"/>
      <c r="AE16" s="1"/>
      <c r="AF16" s="1"/>
    </row>
    <row r="17" spans="2:30" ht="30.75" customHeight="1" x14ac:dyDescent="0.3">
      <c r="B17" s="380" t="s">
        <v>132</v>
      </c>
      <c r="F17" s="441">
        <v>1</v>
      </c>
      <c r="G17" s="441">
        <v>1</v>
      </c>
      <c r="H17" s="441">
        <v>1</v>
      </c>
      <c r="I17" s="441">
        <v>1</v>
      </c>
      <c r="J17" s="441">
        <v>1</v>
      </c>
      <c r="K17" s="441">
        <v>1</v>
      </c>
      <c r="L17" s="441">
        <v>1</v>
      </c>
      <c r="M17" s="441">
        <v>1</v>
      </c>
      <c r="N17" s="441">
        <v>1</v>
      </c>
      <c r="O17" s="441">
        <v>1</v>
      </c>
      <c r="P17" s="441">
        <v>1</v>
      </c>
      <c r="Q17" s="441">
        <v>1</v>
      </c>
      <c r="R17" s="441">
        <v>1</v>
      </c>
      <c r="S17" s="441">
        <v>1</v>
      </c>
      <c r="T17" s="441">
        <v>1</v>
      </c>
      <c r="U17" s="441">
        <v>1</v>
      </c>
      <c r="V17" s="441">
        <v>1</v>
      </c>
      <c r="W17" s="441">
        <v>1</v>
      </c>
      <c r="X17" s="441">
        <v>1</v>
      </c>
      <c r="Y17" s="441">
        <v>1</v>
      </c>
      <c r="Z17" s="441">
        <v>1</v>
      </c>
      <c r="AA17" s="441">
        <v>1</v>
      </c>
      <c r="AB17" s="441">
        <v>1</v>
      </c>
      <c r="AC17" s="441">
        <v>1</v>
      </c>
      <c r="AD17" s="441">
        <v>1</v>
      </c>
    </row>
    <row r="18" spans="2:30" x14ac:dyDescent="0.3">
      <c r="B18" s="415" t="s">
        <v>187</v>
      </c>
      <c r="F18" s="522">
        <f>+C11*F17</f>
        <v>360000</v>
      </c>
      <c r="G18" s="522">
        <f>+$F$18*G17*(1+'SITE Model - INPUT PARAMETERS'!$C$29)^(E$16-1)</f>
        <v>363600</v>
      </c>
      <c r="H18" s="522">
        <f>+$F$18*H17*(1+'SITE Model - INPUT PARAMETERS'!$C$29)^(F$16-1)</f>
        <v>367236</v>
      </c>
      <c r="I18" s="522">
        <f>+$F$18*I17*(1+'SITE Model - INPUT PARAMETERS'!$C$29)^(G$16-1)</f>
        <v>370908.36</v>
      </c>
      <c r="J18" s="522">
        <f>+$F$18*J17*(1+'SITE Model - INPUT PARAMETERS'!$C$29)^(H$16-1)</f>
        <v>374617.4436</v>
      </c>
      <c r="K18" s="522">
        <f>+$F$18*K17*(1+'SITE Model - INPUT PARAMETERS'!$C$29)^(I$16-1)</f>
        <v>378363.618036</v>
      </c>
      <c r="L18" s="522">
        <f>+$F$18*L17*(1+'SITE Model - INPUT PARAMETERS'!$C$29)^(J$16-1)</f>
        <v>382147.25421636004</v>
      </c>
      <c r="M18" s="522">
        <f>+$F$18*M17*(1+'SITE Model - INPUT PARAMETERS'!$C$29)^(K$16-1)</f>
        <v>385968.72675852355</v>
      </c>
      <c r="N18" s="522">
        <f>+$F$18*N17*(1+'SITE Model - INPUT PARAMETERS'!$C$29)^(L$16-1)</f>
        <v>389828.41402610886</v>
      </c>
      <c r="O18" s="522">
        <f>+$F$18*O17*(1+'SITE Model - INPUT PARAMETERS'!$C$29)^(M$16-1)</f>
        <v>393726.69816636998</v>
      </c>
      <c r="P18" s="522">
        <f>+$F$18*P17*(1+'SITE Model - INPUT PARAMETERS'!$C$29)^(N$16-1)</f>
        <v>397663.96514803369</v>
      </c>
      <c r="Q18" s="522">
        <f>+$F$18*Q17*(1+'SITE Model - INPUT PARAMETERS'!$C$29)^(O$16-1)</f>
        <v>401640.60479951394</v>
      </c>
      <c r="R18" s="522">
        <f>+$F$18*R17*(1+'SITE Model - INPUT PARAMETERS'!$C$29)^(P$16-1)</f>
        <v>405657.01084750914</v>
      </c>
      <c r="S18" s="522">
        <f>+$F$18*S17*(1+'SITE Model - INPUT PARAMETERS'!$C$29)^(Q$16-1)</f>
        <v>409713.58095598425</v>
      </c>
      <c r="T18" s="522">
        <f>+$F$18*T17*(1+'SITE Model - INPUT PARAMETERS'!$C$29)^(R$16-1)</f>
        <v>413810.71676554414</v>
      </c>
      <c r="U18" s="522">
        <f>+$F$18*U17*(1+'SITE Model - INPUT PARAMETERS'!$C$29)^(S$16-1)</f>
        <v>417948.82393319946</v>
      </c>
      <c r="V18" s="522">
        <f>+$F$18*V17*(1+'SITE Model - INPUT PARAMETERS'!$C$29)^(T$16-1)</f>
        <v>422128.31217253156</v>
      </c>
      <c r="W18" s="522">
        <f>+$F$18*W17*(1+'SITE Model - INPUT PARAMETERS'!$C$29)^(U$16-1)</f>
        <v>426349.59529425693</v>
      </c>
      <c r="X18" s="522">
        <f>+$F$18*X17*(1+'SITE Model - INPUT PARAMETERS'!$C$29)^(V$16-1)</f>
        <v>430613.09124719951</v>
      </c>
      <c r="Y18" s="522">
        <f>+$F$18*Y17*(1+'SITE Model - INPUT PARAMETERS'!$C$29)^(W$16-1)</f>
        <v>434919.22215967136</v>
      </c>
      <c r="Z18" s="522">
        <f>+$F$18*Z17*(1+'SITE Model - INPUT PARAMETERS'!$C$29)^(X$16-1)</f>
        <v>439268.41438126814</v>
      </c>
      <c r="AA18" s="522">
        <f>+$F$18*AA17*(1+'SITE Model - INPUT PARAMETERS'!$C$29)^(Y$16-1)</f>
        <v>443661.09852508077</v>
      </c>
      <c r="AB18" s="522">
        <f>+$F$18*AB17*(1+'SITE Model - INPUT PARAMETERS'!$C$29)^(Z$16-1)</f>
        <v>448097.70951033168</v>
      </c>
      <c r="AC18" s="522">
        <f>+$F$18*AC17*(1+'SITE Model - INPUT PARAMETERS'!$C$29)^(AA$16-1)</f>
        <v>452578.68660543492</v>
      </c>
      <c r="AD18" s="522">
        <f>+$F$18*AD17*(1+'SITE Model - INPUT PARAMETERS'!$C$29)^(AB$16-1)</f>
        <v>457104.47347148939</v>
      </c>
    </row>
    <row r="19" spans="2:30" x14ac:dyDescent="0.3">
      <c r="B19" s="415" t="s">
        <v>129</v>
      </c>
      <c r="F19" s="522">
        <f>+D11*F17</f>
        <v>60000</v>
      </c>
      <c r="G19" s="522">
        <f>+$F$19*G17*(1+'SITE Model - INPUT PARAMETERS'!$C$29)^(E$16-1)</f>
        <v>60600</v>
      </c>
      <c r="H19" s="522">
        <f>+$F$19*H17*(1+'SITE Model - INPUT PARAMETERS'!$C$29)^(F$16-1)</f>
        <v>61206</v>
      </c>
      <c r="I19" s="522">
        <f>+$F$19*I17*(1+'SITE Model - INPUT PARAMETERS'!$C$29)^(G$16-1)</f>
        <v>61818.06</v>
      </c>
      <c r="J19" s="522">
        <f>+$F$19*J17*(1+'SITE Model - INPUT PARAMETERS'!$C$29)^(H$16-1)</f>
        <v>62436.240600000005</v>
      </c>
      <c r="K19" s="522">
        <f>+$F$19*K17*(1+'SITE Model - INPUT PARAMETERS'!$C$29)^(I$16-1)</f>
        <v>63060.603005999998</v>
      </c>
      <c r="L19" s="522">
        <f>+$F$19*L17*(1+'SITE Model - INPUT PARAMETERS'!$C$29)^(J$16-1)</f>
        <v>63691.209036060005</v>
      </c>
      <c r="M19" s="522">
        <f>+$F$19*M17*(1+'SITE Model - INPUT PARAMETERS'!$C$29)^(K$16-1)</f>
        <v>64328.121126420592</v>
      </c>
      <c r="N19" s="522">
        <f>+$F$19*N17*(1+'SITE Model - INPUT PARAMETERS'!$C$29)^(L$16-1)</f>
        <v>64971.402337684813</v>
      </c>
      <c r="O19" s="522">
        <f>+$F$19*O17*(1+'SITE Model - INPUT PARAMETERS'!$C$29)^(M$16-1)</f>
        <v>65621.116361061664</v>
      </c>
      <c r="P19" s="522">
        <f>+$F$19*P17*(1+'SITE Model - INPUT PARAMETERS'!$C$29)^(N$16-1)</f>
        <v>66277.327524672291</v>
      </c>
      <c r="Q19" s="522">
        <f>+$F$19*Q17*(1+'SITE Model - INPUT PARAMETERS'!$C$29)^(O$16-1)</f>
        <v>66940.10079991899</v>
      </c>
      <c r="R19" s="522">
        <f>+$F$19*R17*(1+'SITE Model - INPUT PARAMETERS'!$C$29)^(P$16-1)</f>
        <v>67609.50180791819</v>
      </c>
      <c r="S19" s="522">
        <f>+$F$19*S17*(1+'SITE Model - INPUT PARAMETERS'!$C$29)^(Q$16-1)</f>
        <v>68285.596825997374</v>
      </c>
      <c r="T19" s="522">
        <f>+$F$19*T17*(1+'SITE Model - INPUT PARAMETERS'!$C$29)^(R$16-1)</f>
        <v>68968.452794257348</v>
      </c>
      <c r="U19" s="522">
        <f>+$F$19*U17*(1+'SITE Model - INPUT PARAMETERS'!$C$29)^(S$16-1)</f>
        <v>69658.137322199909</v>
      </c>
      <c r="V19" s="522">
        <f>+$F$19*V17*(1+'SITE Model - INPUT PARAMETERS'!$C$29)^(T$16-1)</f>
        <v>70354.718695421921</v>
      </c>
      <c r="W19" s="522">
        <f>+$F$19*W17*(1+'SITE Model - INPUT PARAMETERS'!$C$29)^(U$16-1)</f>
        <v>71058.265882376145</v>
      </c>
      <c r="X19" s="522">
        <f>+$F$19*X17*(1+'SITE Model - INPUT PARAMETERS'!$C$29)^(V$16-1)</f>
        <v>71768.848541199914</v>
      </c>
      <c r="Y19" s="522">
        <f>+$F$19*Y17*(1+'SITE Model - INPUT PARAMETERS'!$C$29)^(W$16-1)</f>
        <v>72486.537026611899</v>
      </c>
      <c r="Z19" s="522">
        <f>+$F$19*Z17*(1+'SITE Model - INPUT PARAMETERS'!$C$29)^(X$16-1)</f>
        <v>73211.402396878024</v>
      </c>
      <c r="AA19" s="522">
        <f>+$F$19*AA17*(1+'SITE Model - INPUT PARAMETERS'!$C$29)^(Y$16-1)</f>
        <v>73943.51642084679</v>
      </c>
      <c r="AB19" s="522">
        <f>+$F$19*AB17*(1+'SITE Model - INPUT PARAMETERS'!$C$29)^(Z$16-1)</f>
        <v>74682.951585055285</v>
      </c>
      <c r="AC19" s="522">
        <f>+$F$19*AC17*(1+'SITE Model - INPUT PARAMETERS'!$C$29)^(AA$16-1)</f>
        <v>75429.78110090582</v>
      </c>
      <c r="AD19" s="522">
        <f>+$F$19*AD17*(1+'SITE Model - INPUT PARAMETERS'!$C$29)^(AB$16-1)</f>
        <v>76184.078911914898</v>
      </c>
    </row>
    <row r="20" spans="2:30" ht="15" thickBot="1" x14ac:dyDescent="0.35">
      <c r="B20" s="415" t="s">
        <v>130</v>
      </c>
      <c r="F20" s="522">
        <f>+E11*F17</f>
        <v>42000</v>
      </c>
      <c r="G20" s="522">
        <f>+$F$20*G17*(1+'SITE Model - INPUT PARAMETERS'!$C$29)^(E$16-1)</f>
        <v>42420</v>
      </c>
      <c r="H20" s="522">
        <f>+$F$20*H17*(1+'SITE Model - INPUT PARAMETERS'!$C$29)^(F$16-1)</f>
        <v>42844.2</v>
      </c>
      <c r="I20" s="522">
        <f>+$F$20*I17*(1+'SITE Model - INPUT PARAMETERS'!$C$29)^(G$16-1)</f>
        <v>43272.642</v>
      </c>
      <c r="J20" s="522">
        <f>+$F$20*J17*(1+'SITE Model - INPUT PARAMETERS'!$C$29)^(H$16-1)</f>
        <v>43705.368419999999</v>
      </c>
      <c r="K20" s="522">
        <f>+$F$20*K17*(1+'SITE Model - INPUT PARAMETERS'!$C$29)^(I$16-1)</f>
        <v>44142.422104199999</v>
      </c>
      <c r="L20" s="522">
        <f>+$F$20*L17*(1+'SITE Model - INPUT PARAMETERS'!$C$29)^(J$16-1)</f>
        <v>44583.846325242004</v>
      </c>
      <c r="M20" s="522">
        <f>+$F$20*M17*(1+'SITE Model - INPUT PARAMETERS'!$C$29)^(K$16-1)</f>
        <v>45029.684788494415</v>
      </c>
      <c r="N20" s="522">
        <f>+$F$20*N17*(1+'SITE Model - INPUT PARAMETERS'!$C$29)^(L$16-1)</f>
        <v>45479.981636379373</v>
      </c>
      <c r="O20" s="522">
        <f>+$F$20*O17*(1+'SITE Model - INPUT PARAMETERS'!$C$29)^(M$16-1)</f>
        <v>45934.781452743169</v>
      </c>
      <c r="P20" s="522">
        <f>+$F$20*P17*(1+'SITE Model - INPUT PARAMETERS'!$C$29)^(N$16-1)</f>
        <v>46394.129267270597</v>
      </c>
      <c r="Q20" s="522">
        <f>+$F$20*Q17*(1+'SITE Model - INPUT PARAMETERS'!$C$29)^(O$16-1)</f>
        <v>46858.070559943299</v>
      </c>
      <c r="R20" s="522">
        <f>+$F$20*R17*(1+'SITE Model - INPUT PARAMETERS'!$C$29)^(P$16-1)</f>
        <v>47326.651265542729</v>
      </c>
      <c r="S20" s="522">
        <f>+$F$20*S17*(1+'SITE Model - INPUT PARAMETERS'!$C$29)^(Q$16-1)</f>
        <v>47799.917778198156</v>
      </c>
      <c r="T20" s="522">
        <f>+$F$20*T17*(1+'SITE Model - INPUT PARAMETERS'!$C$29)^(R$16-1)</f>
        <v>48277.916955980145</v>
      </c>
      <c r="U20" s="522">
        <f>+$F$20*U17*(1+'SITE Model - INPUT PARAMETERS'!$C$29)^(S$16-1)</f>
        <v>48760.696125539936</v>
      </c>
      <c r="V20" s="522">
        <f>+$F$20*V17*(1+'SITE Model - INPUT PARAMETERS'!$C$29)^(T$16-1)</f>
        <v>49248.303086795349</v>
      </c>
      <c r="W20" s="522">
        <f>+$F$20*W17*(1+'SITE Model - INPUT PARAMETERS'!$C$29)^(U$16-1)</f>
        <v>49740.786117663309</v>
      </c>
      <c r="X20" s="522">
        <f>+$F$20*X17*(1+'SITE Model - INPUT PARAMETERS'!$C$29)^(V$16-1)</f>
        <v>50238.19397883994</v>
      </c>
      <c r="Y20" s="522">
        <f>+$F$20*Y17*(1+'SITE Model - INPUT PARAMETERS'!$C$29)^(W$16-1)</f>
        <v>50740.575918628325</v>
      </c>
      <c r="Z20" s="522">
        <f>+$F$20*Z17*(1+'SITE Model - INPUT PARAMETERS'!$C$29)^(X$16-1)</f>
        <v>51247.981677814612</v>
      </c>
      <c r="AA20" s="522">
        <f>+$F$20*AA17*(1+'SITE Model - INPUT PARAMETERS'!$C$29)^(Y$16-1)</f>
        <v>51760.461494592753</v>
      </c>
      <c r="AB20" s="522">
        <f>+$F$20*AB17*(1+'SITE Model - INPUT PARAMETERS'!$C$29)^(Z$16-1)</f>
        <v>52278.066109538697</v>
      </c>
      <c r="AC20" s="522">
        <f>+$F$20*AC17*(1+'SITE Model - INPUT PARAMETERS'!$C$29)^(AA$16-1)</f>
        <v>52800.846770634074</v>
      </c>
      <c r="AD20" s="522">
        <f>+$F$20*AD17*(1+'SITE Model - INPUT PARAMETERS'!$C$29)^(AB$16-1)</f>
        <v>53328.855238340431</v>
      </c>
    </row>
    <row r="21" spans="2:30" ht="28.05" customHeight="1" thickBot="1" x14ac:dyDescent="0.35">
      <c r="B21" s="430" t="s">
        <v>188</v>
      </c>
      <c r="C21" s="431"/>
      <c r="D21" s="521"/>
      <c r="E21" s="521"/>
      <c r="F21" s="523">
        <f>SUM(F18:F20)</f>
        <v>462000</v>
      </c>
      <c r="G21" s="523">
        <f t="shared" ref="G21:AD21" si="1">SUM(G18:G20)</f>
        <v>466620</v>
      </c>
      <c r="H21" s="523">
        <f t="shared" si="1"/>
        <v>471286.2</v>
      </c>
      <c r="I21" s="523">
        <f t="shared" si="1"/>
        <v>475999.06199999998</v>
      </c>
      <c r="J21" s="523">
        <f t="shared" si="1"/>
        <v>480759.05262000003</v>
      </c>
      <c r="K21" s="523">
        <f t="shared" si="1"/>
        <v>485566.64314619999</v>
      </c>
      <c r="L21" s="523">
        <f t="shared" si="1"/>
        <v>490422.30957766209</v>
      </c>
      <c r="M21" s="523">
        <f t="shared" si="1"/>
        <v>495326.5326734386</v>
      </c>
      <c r="N21" s="523">
        <f t="shared" si="1"/>
        <v>500279.79800017306</v>
      </c>
      <c r="O21" s="523">
        <f t="shared" si="1"/>
        <v>505282.59598017478</v>
      </c>
      <c r="P21" s="523">
        <f t="shared" si="1"/>
        <v>510335.42193997657</v>
      </c>
      <c r="Q21" s="523">
        <f t="shared" si="1"/>
        <v>515438.77615937626</v>
      </c>
      <c r="R21" s="523">
        <f t="shared" si="1"/>
        <v>520593.16392097005</v>
      </c>
      <c r="S21" s="523">
        <f t="shared" si="1"/>
        <v>525799.09556017979</v>
      </c>
      <c r="T21" s="523">
        <f t="shared" si="1"/>
        <v>531057.08651578159</v>
      </c>
      <c r="U21" s="523">
        <f t="shared" si="1"/>
        <v>536367.65738093934</v>
      </c>
      <c r="V21" s="523">
        <f t="shared" si="1"/>
        <v>541731.33395474881</v>
      </c>
      <c r="W21" s="523">
        <f t="shared" si="1"/>
        <v>547148.6472942963</v>
      </c>
      <c r="X21" s="523">
        <f t="shared" si="1"/>
        <v>552620.1337672394</v>
      </c>
      <c r="Y21" s="523">
        <f t="shared" si="1"/>
        <v>558146.33510491159</v>
      </c>
      <c r="Z21" s="523">
        <f t="shared" si="1"/>
        <v>563727.79845596082</v>
      </c>
      <c r="AA21" s="523">
        <f t="shared" si="1"/>
        <v>569365.07644052035</v>
      </c>
      <c r="AB21" s="523">
        <f t="shared" si="1"/>
        <v>575058.72720492561</v>
      </c>
      <c r="AC21" s="523">
        <f t="shared" si="1"/>
        <v>580809.31447697477</v>
      </c>
      <c r="AD21" s="524">
        <f t="shared" si="1"/>
        <v>586617.40762174467</v>
      </c>
    </row>
  </sheetData>
  <mergeCells count="3">
    <mergeCell ref="B2:F2"/>
    <mergeCell ref="B4:F4"/>
    <mergeCell ref="B16:C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69D5-A01E-4F2E-A340-A0C167D74606}">
  <dimension ref="B2:AF21"/>
  <sheetViews>
    <sheetView topLeftCell="A10" workbookViewId="0">
      <selection activeCell="F21" sqref="F21"/>
    </sheetView>
  </sheetViews>
  <sheetFormatPr defaultColWidth="11.44140625" defaultRowHeight="14.4" x14ac:dyDescent="0.3"/>
  <cols>
    <col min="1" max="1" width="3.77734375" customWidth="1"/>
    <col min="2" max="2" width="27.77734375" customWidth="1"/>
    <col min="3" max="3" width="18.21875" bestFit="1" customWidth="1"/>
    <col min="4" max="4" width="16.21875" customWidth="1"/>
    <col min="5" max="5" width="18.44140625" customWidth="1"/>
    <col min="6" max="6" width="16.21875" customWidth="1"/>
    <col min="7" max="7" width="13.21875" bestFit="1" customWidth="1"/>
    <col min="8" max="8" width="15.5546875" customWidth="1"/>
    <col min="9" max="9" width="17.77734375" customWidth="1"/>
    <col min="10" max="10" width="16.44140625" customWidth="1"/>
    <col min="11" max="11" width="17.77734375" customWidth="1"/>
    <col min="12" max="12" width="17.44140625" customWidth="1"/>
    <col min="13" max="13" width="15.21875" customWidth="1"/>
    <col min="14" max="14" width="15" customWidth="1"/>
    <col min="15" max="15" width="17.77734375" customWidth="1"/>
    <col min="16" max="16" width="18.44140625" customWidth="1"/>
    <col min="17" max="17" width="18.77734375" customWidth="1"/>
    <col min="18" max="18" width="16.21875" customWidth="1"/>
    <col min="19" max="19" width="17.21875" bestFit="1" customWidth="1"/>
    <col min="20" max="20" width="18.5546875" bestFit="1" customWidth="1"/>
    <col min="21" max="21" width="19.77734375" customWidth="1"/>
    <col min="22" max="36" width="16.21875" customWidth="1"/>
  </cols>
  <sheetData>
    <row r="2" spans="2:32" ht="17.399999999999999" x14ac:dyDescent="0.3">
      <c r="B2" s="552" t="s">
        <v>180</v>
      </c>
      <c r="C2" s="552"/>
      <c r="D2" s="552"/>
      <c r="E2" s="552"/>
      <c r="F2" s="552"/>
      <c r="G2" s="432"/>
      <c r="H2" s="432"/>
    </row>
    <row r="3" spans="2:32" ht="18" thickBot="1" x14ac:dyDescent="0.35">
      <c r="B3" s="410"/>
      <c r="C3" s="410"/>
      <c r="D3" s="410"/>
      <c r="E3" s="410"/>
      <c r="F3" s="410"/>
    </row>
    <row r="4" spans="2:32" s="1" customFormat="1" ht="18.600000000000001" customHeight="1" thickBot="1" x14ac:dyDescent="0.3">
      <c r="B4" s="553" t="s">
        <v>197</v>
      </c>
      <c r="C4" s="554"/>
      <c r="D4" s="554"/>
      <c r="E4" s="554"/>
      <c r="F4" s="555"/>
      <c r="G4" s="411"/>
      <c r="H4" s="411"/>
      <c r="I4" s="411"/>
      <c r="J4" s="2"/>
      <c r="K4" s="2"/>
      <c r="L4" s="2"/>
    </row>
    <row r="5" spans="2:32" s="1" customFormat="1" ht="21.75" customHeight="1" thickBot="1" x14ac:dyDescent="0.35">
      <c r="B5" s="395" t="s">
        <v>0</v>
      </c>
      <c r="C5" s="396" t="s">
        <v>128</v>
      </c>
      <c r="D5" s="395" t="s">
        <v>129</v>
      </c>
      <c r="E5" s="395" t="s">
        <v>181</v>
      </c>
      <c r="F5" s="412" t="s">
        <v>182</v>
      </c>
      <c r="H5" s="58"/>
      <c r="I5" s="62"/>
      <c r="J5" s="33"/>
      <c r="K5" s="2"/>
      <c r="L5" s="2"/>
    </row>
    <row r="6" spans="2:32" s="1" customFormat="1" ht="15" thickBot="1" x14ac:dyDescent="0.35">
      <c r="B6" s="437" t="s">
        <v>183</v>
      </c>
      <c r="C6" s="397">
        <v>0.7</v>
      </c>
      <c r="D6" s="398">
        <v>0.2</v>
      </c>
      <c r="E6" s="399">
        <v>0.1</v>
      </c>
      <c r="F6" s="436"/>
      <c r="H6" s="58"/>
      <c r="I6" s="62"/>
      <c r="J6" s="33"/>
      <c r="K6" s="2"/>
      <c r="L6" s="2"/>
    </row>
    <row r="7" spans="2:32" s="1" customFormat="1" x14ac:dyDescent="0.3">
      <c r="B7" s="433"/>
      <c r="C7" s="401"/>
      <c r="D7" s="402" t="s">
        <v>0</v>
      </c>
      <c r="E7" s="401"/>
      <c r="F7" s="434"/>
      <c r="H7" s="58"/>
      <c r="I7" s="62"/>
      <c r="J7" s="33"/>
      <c r="K7" s="2"/>
      <c r="L7" s="2"/>
    </row>
    <row r="8" spans="2:32" s="1" customFormat="1" x14ac:dyDescent="0.3">
      <c r="B8" s="400" t="s">
        <v>184</v>
      </c>
      <c r="C8" s="475">
        <f>80*22*40</f>
        <v>70400</v>
      </c>
      <c r="D8" s="476">
        <f>40*22*10</f>
        <v>8800</v>
      </c>
      <c r="E8" s="476">
        <f>(C8+D8)*E6</f>
        <v>7920</v>
      </c>
      <c r="F8" s="477">
        <f>SUM(C8:E8)</f>
        <v>87120</v>
      </c>
      <c r="H8" s="58"/>
      <c r="I8" s="62"/>
      <c r="J8" s="33"/>
      <c r="K8" s="2"/>
      <c r="L8" s="2"/>
    </row>
    <row r="9" spans="2:32" s="1" customFormat="1" ht="15.6" customHeight="1" x14ac:dyDescent="0.3">
      <c r="B9" s="435"/>
      <c r="C9" s="478"/>
      <c r="D9" s="479"/>
      <c r="E9" s="479"/>
      <c r="F9" s="480"/>
      <c r="H9" s="58"/>
      <c r="I9" s="62"/>
      <c r="J9" s="33"/>
      <c r="K9" s="2"/>
      <c r="L9" s="2"/>
    </row>
    <row r="10" spans="2:32" s="1" customFormat="1" ht="15" customHeight="1" x14ac:dyDescent="0.3">
      <c r="B10" s="403"/>
      <c r="C10" s="481"/>
      <c r="D10" s="479"/>
      <c r="E10" s="479"/>
      <c r="F10" s="480"/>
      <c r="H10" s="58"/>
      <c r="I10" s="59"/>
      <c r="J10" s="2"/>
      <c r="K10" s="2"/>
      <c r="L10" s="2"/>
    </row>
    <row r="11" spans="2:32" s="1" customFormat="1" ht="15" customHeight="1" thickBot="1" x14ac:dyDescent="0.35">
      <c r="B11" s="404" t="s">
        <v>185</v>
      </c>
      <c r="C11" s="482">
        <f>C8*12</f>
        <v>844800</v>
      </c>
      <c r="D11" s="482">
        <f>D8*12</f>
        <v>105600</v>
      </c>
      <c r="E11" s="482">
        <f>E8*12</f>
        <v>95040</v>
      </c>
      <c r="F11" s="483">
        <f>+E11+D11+C11</f>
        <v>1045440</v>
      </c>
      <c r="H11" s="58"/>
      <c r="I11" s="59"/>
      <c r="J11" s="2"/>
      <c r="K11" s="2"/>
      <c r="L11" s="2"/>
    </row>
    <row r="12" spans="2:32" s="1" customFormat="1" x14ac:dyDescent="0.3">
      <c r="B12" s="268"/>
      <c r="C12" s="405"/>
      <c r="D12" s="406"/>
      <c r="E12" s="407" t="s">
        <v>0</v>
      </c>
      <c r="F12" s="407"/>
      <c r="G12" s="44"/>
      <c r="H12" s="44"/>
      <c r="I12" s="44"/>
      <c r="J12" s="44"/>
      <c r="K12" s="44"/>
      <c r="L12" s="44"/>
      <c r="M12" s="44"/>
      <c r="N12" s="49"/>
      <c r="O12" s="293"/>
      <c r="P12" s="51"/>
      <c r="Q12" s="45"/>
      <c r="R12" s="45"/>
      <c r="S12" s="45"/>
      <c r="T12" s="34"/>
      <c r="U12" s="31"/>
      <c r="V12" s="50"/>
      <c r="W12" s="2"/>
      <c r="X12" s="2"/>
      <c r="Y12" s="2"/>
    </row>
    <row r="15" spans="2:32" ht="15" customHeight="1" thickBot="1" x14ac:dyDescent="0.35"/>
    <row r="16" spans="2:32" s="11" customFormat="1" ht="30.75" customHeight="1" x14ac:dyDescent="0.3">
      <c r="B16" s="550" t="s">
        <v>186</v>
      </c>
      <c r="C16" s="551"/>
      <c r="D16" s="36">
        <v>1</v>
      </c>
      <c r="E16" s="36">
        <f>D16+1</f>
        <v>2</v>
      </c>
      <c r="F16" s="36">
        <f t="shared" ref="F16:AB16" si="0">E16+1</f>
        <v>3</v>
      </c>
      <c r="G16" s="36">
        <f t="shared" si="0"/>
        <v>4</v>
      </c>
      <c r="H16" s="36">
        <f t="shared" si="0"/>
        <v>5</v>
      </c>
      <c r="I16" s="36">
        <f t="shared" si="0"/>
        <v>6</v>
      </c>
      <c r="J16" s="36">
        <f t="shared" si="0"/>
        <v>7</v>
      </c>
      <c r="K16" s="36">
        <f>J16+1</f>
        <v>8</v>
      </c>
      <c r="L16" s="36">
        <f t="shared" si="0"/>
        <v>9</v>
      </c>
      <c r="M16" s="36">
        <f t="shared" si="0"/>
        <v>10</v>
      </c>
      <c r="N16" s="36">
        <f t="shared" si="0"/>
        <v>11</v>
      </c>
      <c r="O16" s="36">
        <f t="shared" si="0"/>
        <v>12</v>
      </c>
      <c r="P16" s="36">
        <f t="shared" si="0"/>
        <v>13</v>
      </c>
      <c r="Q16" s="36">
        <f t="shared" si="0"/>
        <v>14</v>
      </c>
      <c r="R16" s="36">
        <f t="shared" si="0"/>
        <v>15</v>
      </c>
      <c r="S16" s="36">
        <f>R16+1</f>
        <v>16</v>
      </c>
      <c r="T16" s="36">
        <f>S16+1</f>
        <v>17</v>
      </c>
      <c r="U16" s="36">
        <f t="shared" si="0"/>
        <v>18</v>
      </c>
      <c r="V16" s="36">
        <f t="shared" si="0"/>
        <v>19</v>
      </c>
      <c r="W16" s="37">
        <f t="shared" si="0"/>
        <v>20</v>
      </c>
      <c r="X16" s="37">
        <f t="shared" si="0"/>
        <v>21</v>
      </c>
      <c r="Y16" s="37">
        <f t="shared" si="0"/>
        <v>22</v>
      </c>
      <c r="Z16" s="37">
        <f t="shared" si="0"/>
        <v>23</v>
      </c>
      <c r="AA16" s="408">
        <f t="shared" si="0"/>
        <v>24</v>
      </c>
      <c r="AB16" s="409">
        <f t="shared" si="0"/>
        <v>25</v>
      </c>
      <c r="AC16" s="1"/>
      <c r="AD16" s="1"/>
      <c r="AE16" s="1"/>
      <c r="AF16" s="1"/>
    </row>
    <row r="17" spans="2:30" ht="30.75" customHeight="1" x14ac:dyDescent="0.3">
      <c r="B17" s="380" t="s">
        <v>132</v>
      </c>
      <c r="G17" s="441">
        <v>1</v>
      </c>
      <c r="H17" s="441">
        <v>1</v>
      </c>
      <c r="I17" s="441">
        <v>1</v>
      </c>
      <c r="J17" s="441">
        <v>1</v>
      </c>
      <c r="K17" s="441">
        <v>1</v>
      </c>
      <c r="L17" s="441">
        <v>1</v>
      </c>
      <c r="M17" s="441">
        <v>1</v>
      </c>
      <c r="N17" s="441">
        <v>1</v>
      </c>
      <c r="O17" s="441">
        <v>1</v>
      </c>
      <c r="P17" s="441">
        <v>1</v>
      </c>
      <c r="Q17" s="441">
        <v>1</v>
      </c>
      <c r="R17" s="441">
        <v>1</v>
      </c>
      <c r="S17" s="441">
        <v>1</v>
      </c>
      <c r="T17" s="441">
        <v>1</v>
      </c>
      <c r="U17" s="441">
        <v>1</v>
      </c>
      <c r="V17" s="441">
        <v>1</v>
      </c>
      <c r="W17" s="441">
        <v>1</v>
      </c>
      <c r="X17" s="441">
        <v>1</v>
      </c>
      <c r="Y17" s="441">
        <v>1</v>
      </c>
      <c r="Z17" s="441">
        <v>1</v>
      </c>
      <c r="AA17" s="441">
        <v>1</v>
      </c>
      <c r="AB17" s="441">
        <v>1</v>
      </c>
      <c r="AC17" s="441">
        <v>1</v>
      </c>
      <c r="AD17" s="441">
        <v>1</v>
      </c>
    </row>
    <row r="18" spans="2:30" x14ac:dyDescent="0.3">
      <c r="B18" s="415" t="s">
        <v>187</v>
      </c>
      <c r="G18" s="522">
        <f>+C11*G17</f>
        <v>844800</v>
      </c>
      <c r="H18" s="522">
        <f>+$G$18*H17*(1+'SITE Model - INPUT PARAMETERS'!$C$29)^(E$16-1)</f>
        <v>853248</v>
      </c>
      <c r="I18" s="522">
        <f>+$G$18*I17*(1+'SITE Model - INPUT PARAMETERS'!$C$29)^(F$16-1)</f>
        <v>861780.47999999998</v>
      </c>
      <c r="J18" s="522">
        <f>+$G$18*J17*(1+'SITE Model - INPUT PARAMETERS'!$C$29)^(G$16-1)</f>
        <v>870398.28479999991</v>
      </c>
      <c r="K18" s="522">
        <f>+$G$18*K17*(1+'SITE Model - INPUT PARAMETERS'!$C$29)^(H$16-1)</f>
        <v>879102.26764800004</v>
      </c>
      <c r="L18" s="522">
        <f>+$G$18*L17*(1+'SITE Model - INPUT PARAMETERS'!$C$29)^(I$16-1)</f>
        <v>887893.29032447992</v>
      </c>
      <c r="M18" s="522">
        <f>+$G$18*M17*(1+'SITE Model - INPUT PARAMETERS'!$C$29)^(J$16-1)</f>
        <v>896772.2232277249</v>
      </c>
      <c r="N18" s="522">
        <f>+$G$18*N17*(1+'SITE Model - INPUT PARAMETERS'!$C$29)^(K$16-1)</f>
        <v>905739.94546000194</v>
      </c>
      <c r="O18" s="522">
        <f>+$G$18*O17*(1+'SITE Model - INPUT PARAMETERS'!$C$29)^(L$16-1)</f>
        <v>914797.34491460223</v>
      </c>
      <c r="P18" s="522">
        <f>+$G$18*P17*(1+'SITE Model - INPUT PARAMETERS'!$C$29)^(M$16-1)</f>
        <v>923945.31836374826</v>
      </c>
      <c r="Q18" s="522">
        <f>+$G$18*Q17*(1+'SITE Model - INPUT PARAMETERS'!$C$29)^(N$16-1)</f>
        <v>933184.77154738572</v>
      </c>
      <c r="R18" s="522">
        <f>+$G$18*R17*(1+'SITE Model - INPUT PARAMETERS'!$C$29)^(O$16-1)</f>
        <v>942516.61926285946</v>
      </c>
      <c r="S18" s="522">
        <f>+$G$18*S17*(1+'SITE Model - INPUT PARAMETERS'!$C$29)^(P$16-1)</f>
        <v>951941.78545548802</v>
      </c>
      <c r="T18" s="522">
        <f>+$G$18*T17*(1+'SITE Model - INPUT PARAMETERS'!$C$29)^(Q$16-1)</f>
        <v>961461.20331004297</v>
      </c>
      <c r="U18" s="522">
        <f>+$G$18*U17*(1+'SITE Model - INPUT PARAMETERS'!$C$29)^(R$16-1)</f>
        <v>971075.81534314353</v>
      </c>
      <c r="V18" s="522">
        <f>+$G$18*V17*(1+'SITE Model - INPUT PARAMETERS'!$C$29)^(S$16-1)</f>
        <v>980786.57349657465</v>
      </c>
      <c r="W18" s="522">
        <f>+$G$18*W17*(1+'SITE Model - INPUT PARAMETERS'!$C$29)^(T$16-1)</f>
        <v>990594.43923154077</v>
      </c>
      <c r="X18" s="522">
        <f>+$G$18*X17*(1+'SITE Model - INPUT PARAMETERS'!$C$29)^(U$16-1)</f>
        <v>1000500.3836238562</v>
      </c>
      <c r="Y18" s="522">
        <f>+$G$18*Y17*(1+'SITE Model - INPUT PARAMETERS'!$C$29)^(V$16-1)</f>
        <v>1010505.3874600948</v>
      </c>
      <c r="Z18" s="522">
        <f>+$G$18*Z17*(1+'SITE Model - INPUT PARAMETERS'!$C$29)^(W$16-1)</f>
        <v>1020610.4413346956</v>
      </c>
      <c r="AA18" s="522">
        <f>+$G$18*AA17*(1+'SITE Model - INPUT PARAMETERS'!$C$29)^(X$16-1)</f>
        <v>1030816.5457480425</v>
      </c>
      <c r="AB18" s="522">
        <f>+$G$18*AB17*(1+'SITE Model - INPUT PARAMETERS'!$C$29)^(Y$16-1)</f>
        <v>1041124.7112055229</v>
      </c>
      <c r="AC18" s="522">
        <f>+$G$18*AC17*(1+'SITE Model - INPUT PARAMETERS'!$C$29)^(Z$16-1)</f>
        <v>1051535.9583175783</v>
      </c>
      <c r="AD18" s="522">
        <f>+$G$18*AD17*(1+'SITE Model - INPUT PARAMETERS'!$C$29)^(AA$16-1)</f>
        <v>1062051.317900754</v>
      </c>
    </row>
    <row r="19" spans="2:30" x14ac:dyDescent="0.3">
      <c r="B19" s="415" t="s">
        <v>129</v>
      </c>
      <c r="G19" s="522">
        <f>+D11*G17</f>
        <v>105600</v>
      </c>
      <c r="H19" s="522">
        <f>+$G$19*H17*(1+'SITE Model - INPUT PARAMETERS'!$C$29)^(E$16-1)</f>
        <v>106656</v>
      </c>
      <c r="I19" s="522">
        <f>+$G$19*I17*(1+'SITE Model - INPUT PARAMETERS'!$C$29)^(F$16-1)</f>
        <v>107722.56</v>
      </c>
      <c r="J19" s="522">
        <f>+$G$19*J17*(1+'SITE Model - INPUT PARAMETERS'!$C$29)^(G$16-1)</f>
        <v>108799.78559999999</v>
      </c>
      <c r="K19" s="522">
        <f>+$G$19*K17*(1+'SITE Model - INPUT PARAMETERS'!$C$29)^(H$16-1)</f>
        <v>109887.783456</v>
      </c>
      <c r="L19" s="522">
        <f>+$G$19*L17*(1+'SITE Model - INPUT PARAMETERS'!$C$29)^(I$16-1)</f>
        <v>110986.66129055999</v>
      </c>
      <c r="M19" s="522">
        <f>+$G$19*M17*(1+'SITE Model - INPUT PARAMETERS'!$C$29)^(J$16-1)</f>
        <v>112096.52790346561</v>
      </c>
      <c r="N19" s="522">
        <f>+$G$19*N17*(1+'SITE Model - INPUT PARAMETERS'!$C$29)^(K$16-1)</f>
        <v>113217.49318250024</v>
      </c>
      <c r="O19" s="522">
        <f>+$G$19*O17*(1+'SITE Model - INPUT PARAMETERS'!$C$29)^(L$16-1)</f>
        <v>114349.66811432528</v>
      </c>
      <c r="P19" s="522">
        <f>+$G$19*P17*(1+'SITE Model - INPUT PARAMETERS'!$C$29)^(M$16-1)</f>
        <v>115493.16479546853</v>
      </c>
      <c r="Q19" s="522">
        <f>+$G$19*Q17*(1+'SITE Model - INPUT PARAMETERS'!$C$29)^(N$16-1)</f>
        <v>116648.09644342322</v>
      </c>
      <c r="R19" s="522">
        <f>+$G$19*R17*(1+'SITE Model - INPUT PARAMETERS'!$C$29)^(O$16-1)</f>
        <v>117814.57740785743</v>
      </c>
      <c r="S19" s="522">
        <f>+$G$19*S17*(1+'SITE Model - INPUT PARAMETERS'!$C$29)^(P$16-1)</f>
        <v>118992.723181936</v>
      </c>
      <c r="T19" s="522">
        <f>+$G$19*T17*(1+'SITE Model - INPUT PARAMETERS'!$C$29)^(Q$16-1)</f>
        <v>120182.65041375537</v>
      </c>
      <c r="U19" s="522">
        <f>+$G$19*U17*(1+'SITE Model - INPUT PARAMETERS'!$C$29)^(R$16-1)</f>
        <v>121384.47691789294</v>
      </c>
      <c r="V19" s="522">
        <f>+$G$19*V17*(1+'SITE Model - INPUT PARAMETERS'!$C$29)^(S$16-1)</f>
        <v>122598.32168707183</v>
      </c>
      <c r="W19" s="522">
        <f>+$G$19*W17*(1+'SITE Model - INPUT PARAMETERS'!$C$29)^(T$16-1)</f>
        <v>123824.3049039426</v>
      </c>
      <c r="X19" s="522">
        <f>+$G$19*X17*(1+'SITE Model - INPUT PARAMETERS'!$C$29)^(U$16-1)</f>
        <v>125062.54795298203</v>
      </c>
      <c r="Y19" s="522">
        <f>+$G$19*Y17*(1+'SITE Model - INPUT PARAMETERS'!$C$29)^(V$16-1)</f>
        <v>126313.17343251185</v>
      </c>
      <c r="Z19" s="522">
        <f>+$G$19*Z17*(1+'SITE Model - INPUT PARAMETERS'!$C$29)^(W$16-1)</f>
        <v>127576.30516683694</v>
      </c>
      <c r="AA19" s="522">
        <f>+$G$19*AA17*(1+'SITE Model - INPUT PARAMETERS'!$C$29)^(X$16-1)</f>
        <v>128852.06821850532</v>
      </c>
      <c r="AB19" s="522">
        <f>+$G$19*AB17*(1+'SITE Model - INPUT PARAMETERS'!$C$29)^(Y$16-1)</f>
        <v>130140.58890069036</v>
      </c>
      <c r="AC19" s="522">
        <f>+$G$19*AC17*(1+'SITE Model - INPUT PARAMETERS'!$C$29)^(Z$16-1)</f>
        <v>131441.99478969729</v>
      </c>
      <c r="AD19" s="522">
        <f>+$G$19*AD17*(1+'SITE Model - INPUT PARAMETERS'!$C$29)^(AA$16-1)</f>
        <v>132756.41473759426</v>
      </c>
    </row>
    <row r="20" spans="2:30" ht="15" thickBot="1" x14ac:dyDescent="0.35">
      <c r="B20" s="415" t="s">
        <v>130</v>
      </c>
      <c r="G20" s="522">
        <f>+E11*G17</f>
        <v>95040</v>
      </c>
      <c r="H20" s="522">
        <f>+$G$20*H17*(1+'SITE Model - INPUT PARAMETERS'!$C$29)^(E$16-1)</f>
        <v>95990.399999999994</v>
      </c>
      <c r="I20" s="522">
        <f>+$G$20*I17*(1+'SITE Model - INPUT PARAMETERS'!$C$29)^(F$16-1)</f>
        <v>96950.304000000004</v>
      </c>
      <c r="J20" s="522">
        <f>+$G$20*J17*(1+'SITE Model - INPUT PARAMETERS'!$C$29)^(G$16-1)</f>
        <v>97919.807039999985</v>
      </c>
      <c r="K20" s="522">
        <f>+$G$20*K17*(1+'SITE Model - INPUT PARAMETERS'!$C$29)^(H$16-1)</f>
        <v>98899.005110400001</v>
      </c>
      <c r="L20" s="522">
        <f>+$G$20*L17*(1+'SITE Model - INPUT PARAMETERS'!$C$29)^(I$16-1)</f>
        <v>99887.99516150399</v>
      </c>
      <c r="M20" s="522">
        <f>+$G$20*M17*(1+'SITE Model - INPUT PARAMETERS'!$C$29)^(J$16-1)</f>
        <v>100886.87511311905</v>
      </c>
      <c r="N20" s="522">
        <f>+$G$20*N17*(1+'SITE Model - INPUT PARAMETERS'!$C$29)^(K$16-1)</f>
        <v>101895.74386425021</v>
      </c>
      <c r="O20" s="522">
        <f>+$G$20*O17*(1+'SITE Model - INPUT PARAMETERS'!$C$29)^(L$16-1)</f>
        <v>102914.70130289275</v>
      </c>
      <c r="P20" s="522">
        <f>+$G$20*P17*(1+'SITE Model - INPUT PARAMETERS'!$C$29)^(M$16-1)</f>
        <v>103943.84831592168</v>
      </c>
      <c r="Q20" s="522">
        <f>+$G$20*Q17*(1+'SITE Model - INPUT PARAMETERS'!$C$29)^(N$16-1)</f>
        <v>104983.2867990809</v>
      </c>
      <c r="R20" s="522">
        <f>+$G$20*R17*(1+'SITE Model - INPUT PARAMETERS'!$C$29)^(O$16-1)</f>
        <v>106033.11966707169</v>
      </c>
      <c r="S20" s="522">
        <f>+$G$20*S17*(1+'SITE Model - INPUT PARAMETERS'!$C$29)^(P$16-1)</f>
        <v>107093.4508637424</v>
      </c>
      <c r="T20" s="522">
        <f>+$G$20*T17*(1+'SITE Model - INPUT PARAMETERS'!$C$29)^(Q$16-1)</f>
        <v>108164.38537237984</v>
      </c>
      <c r="U20" s="522">
        <f>+$G$20*U17*(1+'SITE Model - INPUT PARAMETERS'!$C$29)^(R$16-1)</f>
        <v>109246.02922610365</v>
      </c>
      <c r="V20" s="522">
        <f>+$G$20*V17*(1+'SITE Model - INPUT PARAMETERS'!$C$29)^(S$16-1)</f>
        <v>110338.48951836466</v>
      </c>
      <c r="W20" s="522">
        <f>+$G$20*W17*(1+'SITE Model - INPUT PARAMETERS'!$C$29)^(T$16-1)</f>
        <v>111441.87441354833</v>
      </c>
      <c r="X20" s="522">
        <f>+$G$20*X17*(1+'SITE Model - INPUT PARAMETERS'!$C$29)^(U$16-1)</f>
        <v>112556.29315768382</v>
      </c>
      <c r="Y20" s="522">
        <f>+$G$20*Y17*(1+'SITE Model - INPUT PARAMETERS'!$C$29)^(V$16-1)</f>
        <v>113681.85608926066</v>
      </c>
      <c r="Z20" s="522">
        <f>+$G$20*Z17*(1+'SITE Model - INPUT PARAMETERS'!$C$29)^(W$16-1)</f>
        <v>114818.67465015325</v>
      </c>
      <c r="AA20" s="522">
        <f>+$G$20*AA17*(1+'SITE Model - INPUT PARAMETERS'!$C$29)^(X$16-1)</f>
        <v>115966.86139665479</v>
      </c>
      <c r="AB20" s="522">
        <f>+$G$20*AB17*(1+'SITE Model - INPUT PARAMETERS'!$C$29)^(Y$16-1)</f>
        <v>117126.53001062133</v>
      </c>
      <c r="AC20" s="522">
        <f>+$G$20*AC17*(1+'SITE Model - INPUT PARAMETERS'!$C$29)^(Z$16-1)</f>
        <v>118297.79531072757</v>
      </c>
      <c r="AD20" s="522">
        <f>+$G$20*AD17*(1+'SITE Model - INPUT PARAMETERS'!$C$29)^(AA$16-1)</f>
        <v>119480.77326383482</v>
      </c>
    </row>
    <row r="21" spans="2:30" ht="28.05" customHeight="1" thickBot="1" x14ac:dyDescent="0.35">
      <c r="B21" s="430" t="s">
        <v>188</v>
      </c>
      <c r="C21" s="431"/>
      <c r="D21" s="521"/>
      <c r="E21" s="521"/>
      <c r="F21" s="521"/>
      <c r="G21" s="523">
        <f>SUM(G18:G20)</f>
        <v>1045440</v>
      </c>
      <c r="H21" s="523">
        <f>SUM(H18:H20)</f>
        <v>1055894.3999999999</v>
      </c>
      <c r="I21" s="523">
        <f>SUM(I18:I20)</f>
        <v>1066453.344</v>
      </c>
      <c r="J21" s="523">
        <f>SUM(J18:J20)</f>
        <v>1077117.87744</v>
      </c>
      <c r="K21" s="523">
        <f>SUM(K18:K20)</f>
        <v>1087889.0562144001</v>
      </c>
      <c r="L21" s="523">
        <f>SUM(L18:L20)</f>
        <v>1098767.946776544</v>
      </c>
      <c r="M21" s="523">
        <f>SUM(M18:M20)</f>
        <v>1109755.6262443096</v>
      </c>
      <c r="N21" s="523">
        <f>SUM(N18:N20)</f>
        <v>1120853.1825067524</v>
      </c>
      <c r="O21" s="523">
        <f>SUM(O18:O20)</f>
        <v>1132061.7143318201</v>
      </c>
      <c r="P21" s="523">
        <f>SUM(P18:P20)</f>
        <v>1143382.3314751384</v>
      </c>
      <c r="Q21" s="523">
        <f>SUM(Q18:Q20)</f>
        <v>1154816.1547898899</v>
      </c>
      <c r="R21" s="523">
        <f>SUM(R18:R20)</f>
        <v>1166364.3163377885</v>
      </c>
      <c r="S21" s="523">
        <f>SUM(S18:S20)</f>
        <v>1178027.9595011666</v>
      </c>
      <c r="T21" s="523">
        <f>SUM(T18:T20)</f>
        <v>1189808.2390961782</v>
      </c>
      <c r="U21" s="523">
        <f>SUM(U18:U20)</f>
        <v>1201706.3214871401</v>
      </c>
      <c r="V21" s="523">
        <f>SUM(V18:V20)</f>
        <v>1213723.3847020112</v>
      </c>
      <c r="W21" s="523">
        <f>SUM(W18:W20)</f>
        <v>1225860.6185490317</v>
      </c>
      <c r="X21" s="523">
        <f>SUM(X18:X20)</f>
        <v>1238119.2247345222</v>
      </c>
      <c r="Y21" s="523">
        <f>SUM(Y18:Y20)</f>
        <v>1250500.4169818673</v>
      </c>
      <c r="Z21" s="523">
        <f>SUM(Z18:Z20)</f>
        <v>1263005.4211516855</v>
      </c>
      <c r="AA21" s="523">
        <f>SUM(AA18:AA20)</f>
        <v>1275635.4753632026</v>
      </c>
      <c r="AB21" s="523">
        <f>SUM(AB18:AB20)</f>
        <v>1288391.8301168345</v>
      </c>
      <c r="AC21" s="523">
        <f>SUM(AC18:AC20)</f>
        <v>1301275.7484180031</v>
      </c>
      <c r="AD21" s="523">
        <f>SUM(AD18:AD20)</f>
        <v>1314288.5059021832</v>
      </c>
    </row>
  </sheetData>
  <mergeCells count="3">
    <mergeCell ref="B2:F2"/>
    <mergeCell ref="B4:F4"/>
    <mergeCell ref="B16:C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48B6B-E39A-4C17-BCCA-2FF3D686AE9A}">
  <dimension ref="B2:AF21"/>
  <sheetViews>
    <sheetView topLeftCell="A10" workbookViewId="0">
      <selection activeCell="F21" sqref="F21"/>
    </sheetView>
  </sheetViews>
  <sheetFormatPr defaultColWidth="11.44140625" defaultRowHeight="14.4" x14ac:dyDescent="0.3"/>
  <cols>
    <col min="1" max="1" width="3.77734375" customWidth="1"/>
    <col min="2" max="2" width="27.77734375" customWidth="1"/>
    <col min="3" max="3" width="18.21875" bestFit="1" customWidth="1"/>
    <col min="4" max="4" width="16.21875" customWidth="1"/>
    <col min="5" max="5" width="18.44140625" customWidth="1"/>
    <col min="6" max="6" width="16.21875" customWidth="1"/>
    <col min="7" max="7" width="13.21875" bestFit="1" customWidth="1"/>
    <col min="8" max="8" width="15.5546875" customWidth="1"/>
    <col min="9" max="9" width="17.77734375" customWidth="1"/>
    <col min="10" max="10" width="16.44140625" customWidth="1"/>
    <col min="11" max="11" width="17.77734375" customWidth="1"/>
    <col min="12" max="12" width="17.44140625" customWidth="1"/>
    <col min="13" max="13" width="15.21875" customWidth="1"/>
    <col min="14" max="14" width="15" customWidth="1"/>
    <col min="15" max="15" width="17.77734375" customWidth="1"/>
    <col min="16" max="16" width="18.44140625" customWidth="1"/>
    <col min="17" max="17" width="18.77734375" customWidth="1"/>
    <col min="18" max="18" width="16.21875" customWidth="1"/>
    <col min="19" max="19" width="17.21875" bestFit="1" customWidth="1"/>
    <col min="20" max="20" width="18.5546875" bestFit="1" customWidth="1"/>
    <col min="21" max="21" width="19.77734375" customWidth="1"/>
    <col min="22" max="36" width="16.21875" customWidth="1"/>
  </cols>
  <sheetData>
    <row r="2" spans="2:32" ht="17.399999999999999" x14ac:dyDescent="0.3">
      <c r="B2" s="552" t="s">
        <v>180</v>
      </c>
      <c r="C2" s="552"/>
      <c r="D2" s="552"/>
      <c r="E2" s="552"/>
      <c r="F2" s="552"/>
      <c r="G2" s="432"/>
      <c r="H2" s="432"/>
    </row>
    <row r="3" spans="2:32" ht="18" thickBot="1" x14ac:dyDescent="0.35">
      <c r="B3" s="410"/>
      <c r="C3" s="410"/>
      <c r="D3" s="410"/>
      <c r="E3" s="410"/>
      <c r="F3" s="410"/>
    </row>
    <row r="4" spans="2:32" s="1" customFormat="1" ht="18.600000000000001" customHeight="1" thickBot="1" x14ac:dyDescent="0.3">
      <c r="B4" s="553" t="s">
        <v>199</v>
      </c>
      <c r="C4" s="554"/>
      <c r="D4" s="554"/>
      <c r="E4" s="554"/>
      <c r="F4" s="555"/>
      <c r="G4" s="411"/>
      <c r="H4" s="411"/>
      <c r="I4" s="411"/>
      <c r="J4" s="2"/>
      <c r="K4" s="2"/>
      <c r="L4" s="2"/>
    </row>
    <row r="5" spans="2:32" s="1" customFormat="1" ht="21.75" customHeight="1" thickBot="1" x14ac:dyDescent="0.35">
      <c r="B5" s="395" t="s">
        <v>0</v>
      </c>
      <c r="C5" s="396" t="s">
        <v>128</v>
      </c>
      <c r="D5" s="395" t="s">
        <v>129</v>
      </c>
      <c r="E5" s="395" t="s">
        <v>181</v>
      </c>
      <c r="F5" s="412" t="s">
        <v>182</v>
      </c>
      <c r="H5" s="58"/>
      <c r="I5" s="62"/>
      <c r="J5" s="33"/>
      <c r="K5" s="2"/>
      <c r="L5" s="2"/>
    </row>
    <row r="6" spans="2:32" s="1" customFormat="1" ht="15" thickBot="1" x14ac:dyDescent="0.35">
      <c r="B6" s="437" t="s">
        <v>183</v>
      </c>
      <c r="C6" s="397">
        <v>0.7</v>
      </c>
      <c r="D6" s="398">
        <v>0.2</v>
      </c>
      <c r="E6" s="399">
        <v>0.1</v>
      </c>
      <c r="F6" s="436"/>
      <c r="H6" s="58"/>
      <c r="I6" s="62"/>
      <c r="J6" s="33"/>
      <c r="K6" s="2"/>
      <c r="L6" s="2"/>
    </row>
    <row r="7" spans="2:32" s="1" customFormat="1" x14ac:dyDescent="0.3">
      <c r="B7" s="433"/>
      <c r="C7" s="401"/>
      <c r="D7" s="402" t="s">
        <v>0</v>
      </c>
      <c r="E7" s="401"/>
      <c r="F7" s="434"/>
      <c r="H7" s="58"/>
      <c r="I7" s="62"/>
      <c r="J7" s="33"/>
      <c r="K7" s="2"/>
      <c r="L7" s="2"/>
    </row>
    <row r="8" spans="2:32" s="1" customFormat="1" x14ac:dyDescent="0.3">
      <c r="B8" s="400" t="s">
        <v>184</v>
      </c>
      <c r="C8" s="475">
        <f>40*22*30</f>
        <v>26400</v>
      </c>
      <c r="D8" s="476">
        <f>20*20*10</f>
        <v>4000</v>
      </c>
      <c r="E8" s="476">
        <f>(C8+D8)*E6</f>
        <v>3040</v>
      </c>
      <c r="F8" s="477">
        <f>SUM(C8:E8)</f>
        <v>33440</v>
      </c>
      <c r="H8" s="58"/>
      <c r="I8" s="62"/>
      <c r="J8" s="33"/>
      <c r="K8" s="2"/>
      <c r="L8" s="2"/>
    </row>
    <row r="9" spans="2:32" s="1" customFormat="1" ht="15.6" customHeight="1" x14ac:dyDescent="0.3">
      <c r="B9" s="435"/>
      <c r="C9" s="478"/>
      <c r="D9" s="479"/>
      <c r="E9" s="479"/>
      <c r="F9" s="480"/>
      <c r="H9" s="58"/>
      <c r="I9" s="62"/>
      <c r="J9" s="33"/>
      <c r="K9" s="2"/>
      <c r="L9" s="2"/>
    </row>
    <row r="10" spans="2:32" s="1" customFormat="1" ht="15" customHeight="1" x14ac:dyDescent="0.3">
      <c r="B10" s="403"/>
      <c r="C10" s="481"/>
      <c r="D10" s="479"/>
      <c r="E10" s="479"/>
      <c r="F10" s="480"/>
      <c r="H10" s="58"/>
      <c r="I10" s="59"/>
      <c r="J10" s="2"/>
      <c r="K10" s="2"/>
      <c r="L10" s="2"/>
    </row>
    <row r="11" spans="2:32" s="1" customFormat="1" ht="15" customHeight="1" thickBot="1" x14ac:dyDescent="0.35">
      <c r="B11" s="404" t="s">
        <v>185</v>
      </c>
      <c r="C11" s="482">
        <f>C8*12</f>
        <v>316800</v>
      </c>
      <c r="D11" s="482">
        <f>D8*12</f>
        <v>48000</v>
      </c>
      <c r="E11" s="482">
        <f>E8*12</f>
        <v>36480</v>
      </c>
      <c r="F11" s="483">
        <f>+E11+D11+C11</f>
        <v>401280</v>
      </c>
      <c r="H11" s="58"/>
      <c r="I11" s="59"/>
      <c r="J11" s="2"/>
      <c r="K11" s="2"/>
      <c r="L11" s="2"/>
    </row>
    <row r="12" spans="2:32" s="1" customFormat="1" x14ac:dyDescent="0.3">
      <c r="B12" s="268"/>
      <c r="C12" s="405"/>
      <c r="D12" s="406"/>
      <c r="E12" s="407" t="s">
        <v>0</v>
      </c>
      <c r="F12" s="407"/>
      <c r="G12" s="44"/>
      <c r="H12" s="44"/>
      <c r="I12" s="44"/>
      <c r="J12" s="44"/>
      <c r="K12" s="44"/>
      <c r="L12" s="44"/>
      <c r="M12" s="44"/>
      <c r="N12" s="49"/>
      <c r="O12" s="293"/>
      <c r="P12" s="51"/>
      <c r="Q12" s="45"/>
      <c r="R12" s="45"/>
      <c r="S12" s="45"/>
      <c r="T12" s="34"/>
      <c r="U12" s="31"/>
      <c r="V12" s="50"/>
      <c r="W12" s="2"/>
      <c r="X12" s="2"/>
      <c r="Y12" s="2"/>
    </row>
    <row r="15" spans="2:32" ht="15" customHeight="1" thickBot="1" x14ac:dyDescent="0.35"/>
    <row r="16" spans="2:32" s="11" customFormat="1" ht="30.75" customHeight="1" x14ac:dyDescent="0.3">
      <c r="B16" s="550" t="s">
        <v>186</v>
      </c>
      <c r="C16" s="551"/>
      <c r="D16" s="36">
        <v>1</v>
      </c>
      <c r="E16" s="36">
        <f>D16+1</f>
        <v>2</v>
      </c>
      <c r="F16" s="36">
        <f t="shared" ref="F16:AB16" si="0">E16+1</f>
        <v>3</v>
      </c>
      <c r="G16" s="36">
        <f t="shared" si="0"/>
        <v>4</v>
      </c>
      <c r="H16" s="36">
        <f t="shared" si="0"/>
        <v>5</v>
      </c>
      <c r="I16" s="36">
        <f t="shared" si="0"/>
        <v>6</v>
      </c>
      <c r="J16" s="36">
        <f t="shared" si="0"/>
        <v>7</v>
      </c>
      <c r="K16" s="36">
        <f>J16+1</f>
        <v>8</v>
      </c>
      <c r="L16" s="36">
        <f t="shared" si="0"/>
        <v>9</v>
      </c>
      <c r="M16" s="36">
        <f t="shared" si="0"/>
        <v>10</v>
      </c>
      <c r="N16" s="36">
        <f t="shared" si="0"/>
        <v>11</v>
      </c>
      <c r="O16" s="36">
        <f t="shared" si="0"/>
        <v>12</v>
      </c>
      <c r="P16" s="36">
        <f t="shared" si="0"/>
        <v>13</v>
      </c>
      <c r="Q16" s="36">
        <f t="shared" si="0"/>
        <v>14</v>
      </c>
      <c r="R16" s="36">
        <f t="shared" si="0"/>
        <v>15</v>
      </c>
      <c r="S16" s="36">
        <f>R16+1</f>
        <v>16</v>
      </c>
      <c r="T16" s="36">
        <f>S16+1</f>
        <v>17</v>
      </c>
      <c r="U16" s="36">
        <f t="shared" si="0"/>
        <v>18</v>
      </c>
      <c r="V16" s="36">
        <f t="shared" si="0"/>
        <v>19</v>
      </c>
      <c r="W16" s="37">
        <f t="shared" si="0"/>
        <v>20</v>
      </c>
      <c r="X16" s="37">
        <f t="shared" si="0"/>
        <v>21</v>
      </c>
      <c r="Y16" s="37">
        <f t="shared" si="0"/>
        <v>22</v>
      </c>
      <c r="Z16" s="37">
        <f t="shared" si="0"/>
        <v>23</v>
      </c>
      <c r="AA16" s="408">
        <f t="shared" si="0"/>
        <v>24</v>
      </c>
      <c r="AB16" s="409">
        <f t="shared" si="0"/>
        <v>25</v>
      </c>
      <c r="AC16" s="1"/>
      <c r="AD16" s="1"/>
      <c r="AE16" s="1"/>
      <c r="AF16" s="1"/>
    </row>
    <row r="17" spans="2:31" ht="30.75" customHeight="1" x14ac:dyDescent="0.3">
      <c r="B17" s="380" t="s">
        <v>132</v>
      </c>
      <c r="G17" s="441">
        <v>1</v>
      </c>
      <c r="H17" s="441">
        <v>1</v>
      </c>
      <c r="I17" s="441">
        <v>1</v>
      </c>
      <c r="J17" s="441">
        <v>1</v>
      </c>
      <c r="K17" s="441">
        <v>1</v>
      </c>
      <c r="L17" s="441">
        <v>1</v>
      </c>
      <c r="M17" s="441">
        <v>1</v>
      </c>
      <c r="N17" s="441">
        <v>1</v>
      </c>
      <c r="O17" s="441">
        <v>1</v>
      </c>
      <c r="P17" s="441">
        <v>1</v>
      </c>
      <c r="Q17" s="441">
        <v>1</v>
      </c>
      <c r="R17" s="441">
        <v>1</v>
      </c>
      <c r="S17" s="441">
        <v>1</v>
      </c>
      <c r="T17" s="441">
        <v>1</v>
      </c>
      <c r="U17" s="441">
        <v>1</v>
      </c>
      <c r="V17" s="441">
        <v>1</v>
      </c>
      <c r="W17" s="441">
        <v>1</v>
      </c>
      <c r="X17" s="441">
        <v>1</v>
      </c>
      <c r="Y17" s="441">
        <v>1</v>
      </c>
      <c r="Z17" s="441">
        <v>1</v>
      </c>
      <c r="AA17" s="441">
        <v>1</v>
      </c>
      <c r="AB17" s="441">
        <v>1</v>
      </c>
      <c r="AC17" s="441">
        <v>1</v>
      </c>
      <c r="AD17" s="441">
        <v>1</v>
      </c>
      <c r="AE17" s="441">
        <v>1</v>
      </c>
    </row>
    <row r="18" spans="2:31" x14ac:dyDescent="0.3">
      <c r="B18" s="415" t="s">
        <v>187</v>
      </c>
      <c r="G18" s="522">
        <f>+C11*G17</f>
        <v>316800</v>
      </c>
      <c r="H18" s="522">
        <f>+$G$18*H17*(1+'SITE Model - INPUT PARAMETERS'!$C$29)^(E$16-1)</f>
        <v>319968</v>
      </c>
      <c r="I18" s="522">
        <f>+$G$18*I17*(1+'SITE Model - INPUT PARAMETERS'!$C$29)^(F$16-1)</f>
        <v>323167.68</v>
      </c>
      <c r="J18" s="522">
        <f>+$G$18*J17*(1+'SITE Model - INPUT PARAMETERS'!$C$29)^(G$16-1)</f>
        <v>326399.35679999995</v>
      </c>
      <c r="K18" s="522">
        <f>+$G$18*K17*(1+'SITE Model - INPUT PARAMETERS'!$C$29)^(H$16-1)</f>
        <v>329663.35036799998</v>
      </c>
      <c r="L18" s="522">
        <f>+$G$18*L17*(1+'SITE Model - INPUT PARAMETERS'!$C$29)^(I$16-1)</f>
        <v>332959.98387167999</v>
      </c>
      <c r="M18" s="522">
        <f>+$G$18*M17*(1+'SITE Model - INPUT PARAMETERS'!$C$29)^(J$16-1)</f>
        <v>336289.58371039684</v>
      </c>
      <c r="N18" s="522">
        <f>+$G$18*N17*(1+'SITE Model - INPUT PARAMETERS'!$C$29)^(K$16-1)</f>
        <v>339652.47954750073</v>
      </c>
      <c r="O18" s="522">
        <f>+$G$18*O17*(1+'SITE Model - INPUT PARAMETERS'!$C$29)^(L$16-1)</f>
        <v>343049.00434297579</v>
      </c>
      <c r="P18" s="522">
        <f>+$G$18*P17*(1+'SITE Model - INPUT PARAMETERS'!$C$29)^(M$16-1)</f>
        <v>346479.49438640563</v>
      </c>
      <c r="Q18" s="522">
        <f>+$G$18*Q17*(1+'SITE Model - INPUT PARAMETERS'!$C$29)^(N$16-1)</f>
        <v>349944.28933026968</v>
      </c>
      <c r="R18" s="522">
        <f>+$G$18*R17*(1+'SITE Model - INPUT PARAMETERS'!$C$29)^(O$16-1)</f>
        <v>353443.73222357227</v>
      </c>
      <c r="S18" s="522">
        <f>+$G$18*S17*(1+'SITE Model - INPUT PARAMETERS'!$C$29)^(P$16-1)</f>
        <v>356978.16954580805</v>
      </c>
      <c r="T18" s="522">
        <f>+$G$18*T17*(1+'SITE Model - INPUT PARAMETERS'!$C$29)^(Q$16-1)</f>
        <v>360547.9512412661</v>
      </c>
      <c r="U18" s="522">
        <f>+$G$18*U17*(1+'SITE Model - INPUT PARAMETERS'!$C$29)^(R$16-1)</f>
        <v>364153.43075367884</v>
      </c>
      <c r="V18" s="522">
        <f>+$G$18*V17*(1+'SITE Model - INPUT PARAMETERS'!$C$29)^(S$16-1)</f>
        <v>367794.96506121551</v>
      </c>
      <c r="W18" s="522">
        <f>+$G$18*W17*(1+'SITE Model - INPUT PARAMETERS'!$C$29)^(T$16-1)</f>
        <v>371472.91471182776</v>
      </c>
      <c r="X18" s="522">
        <f>+$G$18*X17*(1+'SITE Model - INPUT PARAMETERS'!$C$29)^(U$16-1)</f>
        <v>375187.64385894604</v>
      </c>
      <c r="Y18" s="522">
        <f>+$G$18*Y17*(1+'SITE Model - INPUT PARAMETERS'!$C$29)^(V$16-1)</f>
        <v>378939.52029753552</v>
      </c>
      <c r="Z18" s="522">
        <f>+$G$18*Z17*(1+'SITE Model - INPUT PARAMETERS'!$C$29)^(W$16-1)</f>
        <v>382728.91550051083</v>
      </c>
      <c r="AA18" s="522">
        <f>+$G$18*AA17*(1+'SITE Model - INPUT PARAMETERS'!$C$29)^(X$16-1)</f>
        <v>386556.20465551596</v>
      </c>
      <c r="AB18" s="522">
        <f>+$G$18*AB17*(1+'SITE Model - INPUT PARAMETERS'!$C$29)^(Y$16-1)</f>
        <v>390421.76670207107</v>
      </c>
      <c r="AC18" s="522">
        <f>+$G$18*AC17*(1+'SITE Model - INPUT PARAMETERS'!$C$29)^(Z$16-1)</f>
        <v>394325.98436909186</v>
      </c>
      <c r="AD18" s="522">
        <f>+$G$18*AD17*(1+'SITE Model - INPUT PARAMETERS'!$C$29)^(AA$16-1)</f>
        <v>398269.24421278277</v>
      </c>
      <c r="AE18" s="522">
        <f>+$G$18*AE17*(1+'SITE Model - INPUT PARAMETERS'!$C$29)^(AB$16-1)</f>
        <v>402251.93665491068</v>
      </c>
    </row>
    <row r="19" spans="2:31" x14ac:dyDescent="0.3">
      <c r="B19" s="415" t="s">
        <v>129</v>
      </c>
      <c r="G19" s="522">
        <f>+D11*G17</f>
        <v>48000</v>
      </c>
      <c r="H19" s="522">
        <f>+$G$19*H17*(1+'SITE Model - INPUT PARAMETERS'!$C$29)^(E$16-1)</f>
        <v>48480</v>
      </c>
      <c r="I19" s="522">
        <f>+$G$19*I17*(1+'SITE Model - INPUT PARAMETERS'!$C$29)^(F$16-1)</f>
        <v>48964.800000000003</v>
      </c>
      <c r="J19" s="522">
        <f>+$G$19*J17*(1+'SITE Model - INPUT PARAMETERS'!$C$29)^(G$16-1)</f>
        <v>49454.447999999997</v>
      </c>
      <c r="K19" s="522">
        <f>+$G$19*K17*(1+'SITE Model - INPUT PARAMETERS'!$C$29)^(H$16-1)</f>
        <v>49948.992480000001</v>
      </c>
      <c r="L19" s="522">
        <f>+$G$19*L17*(1+'SITE Model - INPUT PARAMETERS'!$C$29)^(I$16-1)</f>
        <v>50448.482404799994</v>
      </c>
      <c r="M19" s="522">
        <f>+$G$19*M17*(1+'SITE Model - INPUT PARAMETERS'!$C$29)^(J$16-1)</f>
        <v>50952.967228848007</v>
      </c>
      <c r="N19" s="522">
        <f>+$G$19*N17*(1+'SITE Model - INPUT PARAMETERS'!$C$29)^(K$16-1)</f>
        <v>51462.496901136474</v>
      </c>
      <c r="O19" s="522">
        <f>+$G$19*O17*(1+'SITE Model - INPUT PARAMETERS'!$C$29)^(L$16-1)</f>
        <v>51977.12187014785</v>
      </c>
      <c r="P19" s="522">
        <f>+$G$19*P17*(1+'SITE Model - INPUT PARAMETERS'!$C$29)^(M$16-1)</f>
        <v>52496.893088849334</v>
      </c>
      <c r="Q19" s="522">
        <f>+$G$19*Q17*(1+'SITE Model - INPUT PARAMETERS'!$C$29)^(N$16-1)</f>
        <v>53021.862019737826</v>
      </c>
      <c r="R19" s="522">
        <f>+$G$19*R17*(1+'SITE Model - INPUT PARAMETERS'!$C$29)^(O$16-1)</f>
        <v>53552.080639935193</v>
      </c>
      <c r="S19" s="522">
        <f>+$G$19*S17*(1+'SITE Model - INPUT PARAMETERS'!$C$29)^(P$16-1)</f>
        <v>54087.601446334549</v>
      </c>
      <c r="T19" s="522">
        <f>+$G$19*T17*(1+'SITE Model - INPUT PARAMETERS'!$C$29)^(Q$16-1)</f>
        <v>54628.477460797898</v>
      </c>
      <c r="U19" s="522">
        <f>+$G$19*U17*(1+'SITE Model - INPUT PARAMETERS'!$C$29)^(R$16-1)</f>
        <v>55174.762235405884</v>
      </c>
      <c r="V19" s="522">
        <f>+$G$19*V17*(1+'SITE Model - INPUT PARAMETERS'!$C$29)^(S$16-1)</f>
        <v>55726.509857759927</v>
      </c>
      <c r="W19" s="522">
        <f>+$G$19*W17*(1+'SITE Model - INPUT PARAMETERS'!$C$29)^(T$16-1)</f>
        <v>56283.77495633754</v>
      </c>
      <c r="X19" s="522">
        <f>+$G$19*X17*(1+'SITE Model - INPUT PARAMETERS'!$C$29)^(U$16-1)</f>
        <v>56846.612705900923</v>
      </c>
      <c r="Y19" s="522">
        <f>+$G$19*Y17*(1+'SITE Model - INPUT PARAMETERS'!$C$29)^(V$16-1)</f>
        <v>57415.078832959931</v>
      </c>
      <c r="Z19" s="522">
        <f>+$G$19*Z17*(1+'SITE Model - INPUT PARAMETERS'!$C$29)^(W$16-1)</f>
        <v>57989.229621289516</v>
      </c>
      <c r="AA19" s="522">
        <f>+$G$19*AA17*(1+'SITE Model - INPUT PARAMETERS'!$C$29)^(X$16-1)</f>
        <v>58569.121917502416</v>
      </c>
      <c r="AB19" s="522">
        <f>+$G$19*AB17*(1+'SITE Model - INPUT PARAMETERS'!$C$29)^(Y$16-1)</f>
        <v>59154.81313667744</v>
      </c>
      <c r="AC19" s="522">
        <f>+$G$19*AC17*(1+'SITE Model - INPUT PARAMETERS'!$C$29)^(Z$16-1)</f>
        <v>59746.361268044224</v>
      </c>
      <c r="AD19" s="522">
        <f>+$G$19*AD17*(1+'SITE Model - INPUT PARAMETERS'!$C$29)^(AA$16-1)</f>
        <v>60343.824880724656</v>
      </c>
      <c r="AE19" s="522">
        <f>+$G$19*AE17*(1+'SITE Model - INPUT PARAMETERS'!$C$29)^(AB$16-1)</f>
        <v>60947.263129531922</v>
      </c>
    </row>
    <row r="20" spans="2:31" ht="15" thickBot="1" x14ac:dyDescent="0.35">
      <c r="B20" s="415" t="s">
        <v>130</v>
      </c>
      <c r="G20" s="522">
        <f>+E11*G17</f>
        <v>36480</v>
      </c>
      <c r="H20" s="522">
        <f>+$G$20*H17*(1+'SITE Model - INPUT PARAMETERS'!$C$29)^(E$16-1)</f>
        <v>36844.800000000003</v>
      </c>
      <c r="I20" s="522">
        <f>+$G$20*I17*(1+'SITE Model - INPUT PARAMETERS'!$C$29)^(F$16-1)</f>
        <v>37213.248</v>
      </c>
      <c r="J20" s="522">
        <f>+$G$20*J17*(1+'SITE Model - INPUT PARAMETERS'!$C$29)^(G$16-1)</f>
        <v>37585.38048</v>
      </c>
      <c r="K20" s="522">
        <f>+$G$20*K17*(1+'SITE Model - INPUT PARAMETERS'!$C$29)^(H$16-1)</f>
        <v>37961.234284800004</v>
      </c>
      <c r="L20" s="522">
        <f>+$G$20*L17*(1+'SITE Model - INPUT PARAMETERS'!$C$29)^(I$16-1)</f>
        <v>38340.846627647996</v>
      </c>
      <c r="M20" s="522">
        <f>+$G$20*M17*(1+'SITE Model - INPUT PARAMETERS'!$C$29)^(J$16-1)</f>
        <v>38724.255093924483</v>
      </c>
      <c r="N20" s="522">
        <f>+$G$20*N17*(1+'SITE Model - INPUT PARAMETERS'!$C$29)^(K$16-1)</f>
        <v>39111.497644863717</v>
      </c>
      <c r="O20" s="522">
        <f>+$G$20*O17*(1+'SITE Model - INPUT PARAMETERS'!$C$29)^(L$16-1)</f>
        <v>39502.612621312364</v>
      </c>
      <c r="P20" s="522">
        <f>+$G$20*P17*(1+'SITE Model - INPUT PARAMETERS'!$C$29)^(M$16-1)</f>
        <v>39897.638747525496</v>
      </c>
      <c r="Q20" s="522">
        <f>+$G$20*Q17*(1+'SITE Model - INPUT PARAMETERS'!$C$29)^(N$16-1)</f>
        <v>40296.615135000749</v>
      </c>
      <c r="R20" s="522">
        <f>+$G$20*R17*(1+'SITE Model - INPUT PARAMETERS'!$C$29)^(O$16-1)</f>
        <v>40699.581286350745</v>
      </c>
      <c r="S20" s="522">
        <f>+$G$20*S17*(1+'SITE Model - INPUT PARAMETERS'!$C$29)^(P$16-1)</f>
        <v>41106.577099214257</v>
      </c>
      <c r="T20" s="522">
        <f>+$G$20*T17*(1+'SITE Model - INPUT PARAMETERS'!$C$29)^(Q$16-1)</f>
        <v>41517.6428702064</v>
      </c>
      <c r="U20" s="522">
        <f>+$G$20*U17*(1+'SITE Model - INPUT PARAMETERS'!$C$29)^(R$16-1)</f>
        <v>41932.819298908471</v>
      </c>
      <c r="V20" s="522">
        <f>+$G$20*V17*(1+'SITE Model - INPUT PARAMETERS'!$C$29)^(S$16-1)</f>
        <v>42352.147491897544</v>
      </c>
      <c r="W20" s="522">
        <f>+$G$20*W17*(1+'SITE Model - INPUT PARAMETERS'!$C$29)^(T$16-1)</f>
        <v>42775.668966816535</v>
      </c>
      <c r="X20" s="522">
        <f>+$G$20*X17*(1+'SITE Model - INPUT PARAMETERS'!$C$29)^(U$16-1)</f>
        <v>43203.425656484702</v>
      </c>
      <c r="Y20" s="522">
        <f>+$G$20*Y17*(1+'SITE Model - INPUT PARAMETERS'!$C$29)^(V$16-1)</f>
        <v>43635.459913049548</v>
      </c>
      <c r="Z20" s="522">
        <f>+$G$20*Z17*(1+'SITE Model - INPUT PARAMETERS'!$C$29)^(W$16-1)</f>
        <v>44071.814512180033</v>
      </c>
      <c r="AA20" s="522">
        <f>+$G$20*AA17*(1+'SITE Model - INPUT PARAMETERS'!$C$29)^(X$16-1)</f>
        <v>44512.532657301839</v>
      </c>
      <c r="AB20" s="522">
        <f>+$G$20*AB17*(1+'SITE Model - INPUT PARAMETERS'!$C$29)^(Y$16-1)</f>
        <v>44957.657983874851</v>
      </c>
      <c r="AC20" s="522">
        <f>+$G$20*AC17*(1+'SITE Model - INPUT PARAMETERS'!$C$29)^(Z$16-1)</f>
        <v>45407.23456371361</v>
      </c>
      <c r="AD20" s="522">
        <f>+$G$20*AD17*(1+'SITE Model - INPUT PARAMETERS'!$C$29)^(AA$16-1)</f>
        <v>45861.306909350737</v>
      </c>
      <c r="AE20" s="522">
        <f>+$G$20*AE17*(1+'SITE Model - INPUT PARAMETERS'!$C$29)^(AB$16-1)</f>
        <v>46319.919978444261</v>
      </c>
    </row>
    <row r="21" spans="2:31" ht="28.05" customHeight="1" thickBot="1" x14ac:dyDescent="0.35">
      <c r="B21" s="430" t="s">
        <v>188</v>
      </c>
      <c r="C21" s="431"/>
      <c r="D21" s="521"/>
      <c r="E21" s="521"/>
      <c r="F21" s="521"/>
      <c r="G21" s="523">
        <f>SUM(G18:G20)</f>
        <v>401280</v>
      </c>
      <c r="H21" s="523">
        <f t="shared" ref="H21:AE21" si="1">SUM(H18:H20)</f>
        <v>405292.79999999999</v>
      </c>
      <c r="I21" s="523">
        <f t="shared" si="1"/>
        <v>409345.728</v>
      </c>
      <c r="J21" s="523">
        <f t="shared" si="1"/>
        <v>413439.18527999992</v>
      </c>
      <c r="K21" s="523">
        <f t="shared" si="1"/>
        <v>417573.57713280001</v>
      </c>
      <c r="L21" s="523">
        <f t="shared" si="1"/>
        <v>421749.31290412799</v>
      </c>
      <c r="M21" s="523">
        <f t="shared" si="1"/>
        <v>425966.80603316933</v>
      </c>
      <c r="N21" s="523">
        <f t="shared" si="1"/>
        <v>430226.47409350093</v>
      </c>
      <c r="O21" s="523">
        <f t="shared" si="1"/>
        <v>434528.73883443605</v>
      </c>
      <c r="P21" s="523">
        <f t="shared" si="1"/>
        <v>438874.02622278046</v>
      </c>
      <c r="Q21" s="523">
        <f t="shared" si="1"/>
        <v>443262.76648500824</v>
      </c>
      <c r="R21" s="523">
        <f t="shared" si="1"/>
        <v>447695.39414985821</v>
      </c>
      <c r="S21" s="523">
        <f t="shared" si="1"/>
        <v>452172.34809135686</v>
      </c>
      <c r="T21" s="523">
        <f t="shared" si="1"/>
        <v>456694.07157227036</v>
      </c>
      <c r="U21" s="523">
        <f t="shared" si="1"/>
        <v>461261.01228799322</v>
      </c>
      <c r="V21" s="523">
        <f t="shared" si="1"/>
        <v>465873.62241087295</v>
      </c>
      <c r="W21" s="523">
        <f t="shared" si="1"/>
        <v>470532.35863498179</v>
      </c>
      <c r="X21" s="523">
        <f t="shared" si="1"/>
        <v>475237.68222133163</v>
      </c>
      <c r="Y21" s="523">
        <f t="shared" si="1"/>
        <v>479990.05904354498</v>
      </c>
      <c r="Z21" s="523">
        <f t="shared" si="1"/>
        <v>484789.95963398041</v>
      </c>
      <c r="AA21" s="523">
        <f t="shared" si="1"/>
        <v>489637.8592303202</v>
      </c>
      <c r="AB21" s="523">
        <f t="shared" si="1"/>
        <v>494534.23782262334</v>
      </c>
      <c r="AC21" s="523">
        <f t="shared" si="1"/>
        <v>499479.58020084968</v>
      </c>
      <c r="AD21" s="523">
        <f t="shared" si="1"/>
        <v>504474.37600285816</v>
      </c>
      <c r="AE21" s="524">
        <f t="shared" si="1"/>
        <v>509519.1197628869</v>
      </c>
    </row>
  </sheetData>
  <mergeCells count="3">
    <mergeCell ref="B2:F2"/>
    <mergeCell ref="B4:F4"/>
    <mergeCell ref="B16:C1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D101-7E7C-4AE8-B17A-F2D38679498C}">
  <dimension ref="B2:AF21"/>
  <sheetViews>
    <sheetView topLeftCell="A7" workbookViewId="0">
      <selection activeCell="F21" sqref="F21"/>
    </sheetView>
  </sheetViews>
  <sheetFormatPr defaultColWidth="11.44140625" defaultRowHeight="14.4" x14ac:dyDescent="0.3"/>
  <cols>
    <col min="1" max="1" width="3.77734375" customWidth="1"/>
    <col min="2" max="2" width="27.77734375" customWidth="1"/>
    <col min="3" max="3" width="18.21875" bestFit="1" customWidth="1"/>
    <col min="4" max="4" width="16.21875" customWidth="1"/>
    <col min="5" max="5" width="18.44140625" customWidth="1"/>
    <col min="6" max="6" width="16.21875" customWidth="1"/>
    <col min="7" max="7" width="13.21875" bestFit="1" customWidth="1"/>
    <col min="8" max="8" width="15.5546875" customWidth="1"/>
    <col min="9" max="9" width="17.77734375" customWidth="1"/>
    <col min="10" max="10" width="16.44140625" customWidth="1"/>
    <col min="11" max="11" width="17.77734375" customWidth="1"/>
    <col min="12" max="12" width="17.44140625" customWidth="1"/>
    <col min="13" max="13" width="15.21875" customWidth="1"/>
    <col min="14" max="14" width="15" customWidth="1"/>
    <col min="15" max="15" width="17.77734375" customWidth="1"/>
    <col min="16" max="16" width="18.44140625" customWidth="1"/>
    <col min="17" max="17" width="18.77734375" customWidth="1"/>
    <col min="18" max="18" width="16.21875" customWidth="1"/>
    <col min="19" max="19" width="17.21875" bestFit="1" customWidth="1"/>
    <col min="20" max="20" width="18.5546875" bestFit="1" customWidth="1"/>
    <col min="21" max="21" width="19.77734375" customWidth="1"/>
    <col min="22" max="36" width="16.21875" customWidth="1"/>
  </cols>
  <sheetData>
    <row r="2" spans="2:32" ht="17.399999999999999" x14ac:dyDescent="0.3">
      <c r="B2" s="552" t="s">
        <v>180</v>
      </c>
      <c r="C2" s="552"/>
      <c r="D2" s="552"/>
      <c r="E2" s="552"/>
      <c r="F2" s="552"/>
      <c r="G2" s="432"/>
      <c r="H2" s="432"/>
    </row>
    <row r="3" spans="2:32" ht="18" thickBot="1" x14ac:dyDescent="0.35">
      <c r="B3" s="410"/>
      <c r="C3" s="410"/>
      <c r="D3" s="410"/>
      <c r="E3" s="410"/>
      <c r="F3" s="410"/>
    </row>
    <row r="4" spans="2:32" s="1" customFormat="1" ht="18.600000000000001" customHeight="1" thickBot="1" x14ac:dyDescent="0.3">
      <c r="B4" s="553" t="s">
        <v>198</v>
      </c>
      <c r="C4" s="554"/>
      <c r="D4" s="554"/>
      <c r="E4" s="554"/>
      <c r="F4" s="555"/>
      <c r="G4" s="411"/>
      <c r="H4" s="411"/>
      <c r="I4" s="411"/>
      <c r="J4" s="2"/>
      <c r="K4" s="2"/>
      <c r="L4" s="2"/>
    </row>
    <row r="5" spans="2:32" s="1" customFormat="1" ht="21.75" customHeight="1" thickBot="1" x14ac:dyDescent="0.35">
      <c r="B5" s="395" t="s">
        <v>0</v>
      </c>
      <c r="C5" s="396" t="s">
        <v>128</v>
      </c>
      <c r="D5" s="395" t="s">
        <v>129</v>
      </c>
      <c r="E5" s="395" t="s">
        <v>181</v>
      </c>
      <c r="F5" s="412" t="s">
        <v>182</v>
      </c>
      <c r="H5" s="58"/>
      <c r="I5" s="62"/>
      <c r="J5" s="33"/>
      <c r="K5" s="2"/>
      <c r="L5" s="2"/>
    </row>
    <row r="6" spans="2:32" s="1" customFormat="1" ht="15" thickBot="1" x14ac:dyDescent="0.35">
      <c r="B6" s="437" t="s">
        <v>183</v>
      </c>
      <c r="C6" s="397">
        <v>0.7</v>
      </c>
      <c r="D6" s="398">
        <v>0.2</v>
      </c>
      <c r="E6" s="399">
        <v>0.1</v>
      </c>
      <c r="F6" s="436"/>
      <c r="H6" s="58"/>
      <c r="I6" s="62"/>
      <c r="J6" s="33"/>
      <c r="K6" s="2"/>
      <c r="L6" s="2"/>
    </row>
    <row r="7" spans="2:32" s="1" customFormat="1" x14ac:dyDescent="0.3">
      <c r="B7" s="433"/>
      <c r="C7" s="401"/>
      <c r="D7" s="402" t="s">
        <v>0</v>
      </c>
      <c r="E7" s="401"/>
      <c r="F7" s="434"/>
      <c r="H7" s="58"/>
      <c r="I7" s="62"/>
      <c r="J7" s="33"/>
      <c r="K7" s="2"/>
      <c r="L7" s="2"/>
    </row>
    <row r="8" spans="2:32" s="1" customFormat="1" x14ac:dyDescent="0.3">
      <c r="B8" s="400" t="s">
        <v>184</v>
      </c>
      <c r="C8" s="475">
        <f>50*20*30</f>
        <v>30000</v>
      </c>
      <c r="D8" s="476">
        <f>25*20*10</f>
        <v>5000</v>
      </c>
      <c r="E8" s="476">
        <f>(C8+D8)*E6</f>
        <v>3500</v>
      </c>
      <c r="F8" s="477">
        <f>SUM(C8:E8)</f>
        <v>38500</v>
      </c>
      <c r="H8" s="58"/>
      <c r="I8" s="62"/>
      <c r="J8" s="33"/>
      <c r="K8" s="2"/>
      <c r="L8" s="2"/>
    </row>
    <row r="9" spans="2:32" s="1" customFormat="1" ht="15.6" customHeight="1" x14ac:dyDescent="0.3">
      <c r="B9" s="435"/>
      <c r="C9" s="478"/>
      <c r="D9" s="479"/>
      <c r="E9" s="479"/>
      <c r="F9" s="480"/>
      <c r="H9" s="58"/>
      <c r="I9" s="62"/>
      <c r="J9" s="33"/>
      <c r="K9" s="2"/>
      <c r="L9" s="2"/>
    </row>
    <row r="10" spans="2:32" s="1" customFormat="1" ht="15" customHeight="1" x14ac:dyDescent="0.3">
      <c r="B10" s="403"/>
      <c r="C10" s="481"/>
      <c r="D10" s="479"/>
      <c r="E10" s="479"/>
      <c r="F10" s="480"/>
      <c r="H10" s="58"/>
      <c r="I10" s="59"/>
      <c r="J10" s="2"/>
      <c r="K10" s="2"/>
      <c r="L10" s="2"/>
    </row>
    <row r="11" spans="2:32" s="1" customFormat="1" ht="15" customHeight="1" thickBot="1" x14ac:dyDescent="0.35">
      <c r="B11" s="404" t="s">
        <v>185</v>
      </c>
      <c r="C11" s="482">
        <f>C8*12</f>
        <v>360000</v>
      </c>
      <c r="D11" s="482">
        <f>D8*12</f>
        <v>60000</v>
      </c>
      <c r="E11" s="482">
        <f>E8*12</f>
        <v>42000</v>
      </c>
      <c r="F11" s="483">
        <f>+E11+D11+C11</f>
        <v>462000</v>
      </c>
      <c r="H11" s="58"/>
      <c r="I11" s="59"/>
      <c r="J11" s="2"/>
      <c r="K11" s="2"/>
      <c r="L11" s="2"/>
    </row>
    <row r="12" spans="2:32" s="1" customFormat="1" x14ac:dyDescent="0.3">
      <c r="B12" s="268"/>
      <c r="C12" s="405"/>
      <c r="D12" s="406"/>
      <c r="E12" s="407" t="s">
        <v>0</v>
      </c>
      <c r="F12" s="407"/>
      <c r="G12" s="44"/>
      <c r="H12" s="44"/>
      <c r="I12" s="44"/>
      <c r="J12" s="44"/>
      <c r="K12" s="44"/>
      <c r="L12" s="44"/>
      <c r="M12" s="44"/>
      <c r="N12" s="49"/>
      <c r="O12" s="293"/>
      <c r="P12" s="51"/>
      <c r="Q12" s="45"/>
      <c r="R12" s="45"/>
      <c r="S12" s="45"/>
      <c r="T12" s="34"/>
      <c r="U12" s="31"/>
      <c r="V12" s="50"/>
      <c r="W12" s="2"/>
      <c r="X12" s="2"/>
      <c r="Y12" s="2"/>
    </row>
    <row r="15" spans="2:32" ht="15" customHeight="1" thickBot="1" x14ac:dyDescent="0.35"/>
    <row r="16" spans="2:32" s="11" customFormat="1" ht="30.75" customHeight="1" x14ac:dyDescent="0.3">
      <c r="B16" s="550" t="s">
        <v>186</v>
      </c>
      <c r="C16" s="551"/>
      <c r="D16" s="36">
        <v>1</v>
      </c>
      <c r="E16" s="36">
        <f>D16+1</f>
        <v>2</v>
      </c>
      <c r="F16" s="36">
        <f t="shared" ref="F16:AB16" si="0">E16+1</f>
        <v>3</v>
      </c>
      <c r="G16" s="36">
        <f t="shared" si="0"/>
        <v>4</v>
      </c>
      <c r="H16" s="36">
        <f t="shared" si="0"/>
        <v>5</v>
      </c>
      <c r="I16" s="36">
        <f t="shared" si="0"/>
        <v>6</v>
      </c>
      <c r="J16" s="36">
        <f t="shared" si="0"/>
        <v>7</v>
      </c>
      <c r="K16" s="36">
        <f>J16+1</f>
        <v>8</v>
      </c>
      <c r="L16" s="36">
        <f t="shared" si="0"/>
        <v>9</v>
      </c>
      <c r="M16" s="36">
        <f t="shared" si="0"/>
        <v>10</v>
      </c>
      <c r="N16" s="36">
        <f t="shared" si="0"/>
        <v>11</v>
      </c>
      <c r="O16" s="36">
        <f t="shared" si="0"/>
        <v>12</v>
      </c>
      <c r="P16" s="36">
        <f t="shared" si="0"/>
        <v>13</v>
      </c>
      <c r="Q16" s="36">
        <f t="shared" si="0"/>
        <v>14</v>
      </c>
      <c r="R16" s="36">
        <f t="shared" si="0"/>
        <v>15</v>
      </c>
      <c r="S16" s="36">
        <f>R16+1</f>
        <v>16</v>
      </c>
      <c r="T16" s="36">
        <f>S16+1</f>
        <v>17</v>
      </c>
      <c r="U16" s="36">
        <f t="shared" si="0"/>
        <v>18</v>
      </c>
      <c r="V16" s="36">
        <f t="shared" si="0"/>
        <v>19</v>
      </c>
      <c r="W16" s="37">
        <f t="shared" si="0"/>
        <v>20</v>
      </c>
      <c r="X16" s="37">
        <f t="shared" si="0"/>
        <v>21</v>
      </c>
      <c r="Y16" s="37">
        <f t="shared" si="0"/>
        <v>22</v>
      </c>
      <c r="Z16" s="37">
        <f t="shared" si="0"/>
        <v>23</v>
      </c>
      <c r="AA16" s="408">
        <f t="shared" si="0"/>
        <v>24</v>
      </c>
      <c r="AB16" s="409">
        <f t="shared" si="0"/>
        <v>25</v>
      </c>
      <c r="AC16" s="1"/>
      <c r="AD16" s="1"/>
      <c r="AE16" s="1"/>
      <c r="AF16" s="1"/>
    </row>
    <row r="17" spans="2:31" ht="30.75" customHeight="1" x14ac:dyDescent="0.3">
      <c r="B17" s="380" t="s">
        <v>132</v>
      </c>
      <c r="G17" s="441">
        <v>1</v>
      </c>
      <c r="H17" s="441">
        <v>1</v>
      </c>
      <c r="I17" s="441">
        <v>1</v>
      </c>
      <c r="J17" s="441">
        <v>1</v>
      </c>
      <c r="K17" s="441">
        <v>1</v>
      </c>
      <c r="L17" s="441">
        <v>1</v>
      </c>
      <c r="M17" s="441">
        <v>1</v>
      </c>
      <c r="N17" s="441">
        <v>1</v>
      </c>
      <c r="O17" s="441">
        <v>1</v>
      </c>
      <c r="P17" s="441">
        <v>1</v>
      </c>
      <c r="Q17" s="441">
        <v>1</v>
      </c>
      <c r="R17" s="441">
        <v>1</v>
      </c>
      <c r="S17" s="441">
        <v>1</v>
      </c>
      <c r="T17" s="441">
        <v>1</v>
      </c>
      <c r="U17" s="441">
        <v>1</v>
      </c>
      <c r="V17" s="441">
        <v>1</v>
      </c>
      <c r="W17" s="441">
        <v>1</v>
      </c>
      <c r="X17" s="441">
        <v>1</v>
      </c>
      <c r="Y17" s="441">
        <v>1</v>
      </c>
      <c r="Z17" s="441">
        <v>1</v>
      </c>
      <c r="AA17" s="441">
        <v>1</v>
      </c>
      <c r="AB17" s="441">
        <v>1</v>
      </c>
      <c r="AC17" s="441">
        <v>1</v>
      </c>
      <c r="AD17" s="441">
        <v>1</v>
      </c>
      <c r="AE17" s="441">
        <v>1</v>
      </c>
    </row>
    <row r="18" spans="2:31" x14ac:dyDescent="0.3">
      <c r="B18" s="415" t="s">
        <v>187</v>
      </c>
      <c r="G18" s="522">
        <f>+C11*G17</f>
        <v>360000</v>
      </c>
      <c r="H18" s="522">
        <f>+$G$18*H17*(1+'SITE Model - INPUT PARAMETERS'!$C$29)^(E$16-1)</f>
        <v>363600</v>
      </c>
      <c r="I18" s="522">
        <f>+$G$18*I17*(1+'SITE Model - INPUT PARAMETERS'!$C$29)^(F$16-1)</f>
        <v>367236</v>
      </c>
      <c r="J18" s="522">
        <f>+$G$18*J17*(1+'SITE Model - INPUT PARAMETERS'!$C$29)^(G$16-1)</f>
        <v>370908.36</v>
      </c>
      <c r="K18" s="522">
        <f>+$G$18*K17*(1+'SITE Model - INPUT PARAMETERS'!$C$29)^(H$16-1)</f>
        <v>374617.4436</v>
      </c>
      <c r="L18" s="522">
        <f>+$G$18*L17*(1+'SITE Model - INPUT PARAMETERS'!$C$29)^(I$16-1)</f>
        <v>378363.618036</v>
      </c>
      <c r="M18" s="522">
        <f>+$G$18*M17*(1+'SITE Model - INPUT PARAMETERS'!$C$29)^(J$16-1)</f>
        <v>382147.25421636004</v>
      </c>
      <c r="N18" s="522">
        <f>+$G$18*N17*(1+'SITE Model - INPUT PARAMETERS'!$C$29)^(K$16-1)</f>
        <v>385968.72675852355</v>
      </c>
      <c r="O18" s="522">
        <f>+$G$18*O17*(1+'SITE Model - INPUT PARAMETERS'!$C$29)^(L$16-1)</f>
        <v>389828.41402610886</v>
      </c>
      <c r="P18" s="522">
        <f>+$G$18*P17*(1+'SITE Model - INPUT PARAMETERS'!$C$29)^(M$16-1)</f>
        <v>393726.69816636998</v>
      </c>
      <c r="Q18" s="522">
        <f>+$G$18*Q17*(1+'SITE Model - INPUT PARAMETERS'!$C$29)^(N$16-1)</f>
        <v>397663.96514803369</v>
      </c>
      <c r="R18" s="522">
        <f>+$G$18*R17*(1+'SITE Model - INPUT PARAMETERS'!$C$29)^(O$16-1)</f>
        <v>401640.60479951394</v>
      </c>
      <c r="S18" s="522">
        <f>+$G$18*S17*(1+'SITE Model - INPUT PARAMETERS'!$C$29)^(P$16-1)</f>
        <v>405657.01084750914</v>
      </c>
      <c r="T18" s="522">
        <f>+$G$18*T17*(1+'SITE Model - INPUT PARAMETERS'!$C$29)^(Q$16-1)</f>
        <v>409713.58095598425</v>
      </c>
      <c r="U18" s="522">
        <f>+$G$18*U17*(1+'SITE Model - INPUT PARAMETERS'!$C$29)^(R$16-1)</f>
        <v>413810.71676554414</v>
      </c>
      <c r="V18" s="522">
        <f>+$G$18*V17*(1+'SITE Model - INPUT PARAMETERS'!$C$29)^(S$16-1)</f>
        <v>417948.82393319946</v>
      </c>
      <c r="W18" s="522">
        <f>+$G$18*W17*(1+'SITE Model - INPUT PARAMETERS'!$C$29)^(T$16-1)</f>
        <v>422128.31217253156</v>
      </c>
      <c r="X18" s="522">
        <f>+$G$18*X17*(1+'SITE Model - INPUT PARAMETERS'!$C$29)^(U$16-1)</f>
        <v>426349.59529425693</v>
      </c>
      <c r="Y18" s="522">
        <f>+$G$18*Y17*(1+'SITE Model - INPUT PARAMETERS'!$C$29)^(V$16-1)</f>
        <v>430613.09124719951</v>
      </c>
      <c r="Z18" s="522">
        <f>+$G$18*Z17*(1+'SITE Model - INPUT PARAMETERS'!$C$29)^(W$16-1)</f>
        <v>434919.22215967136</v>
      </c>
      <c r="AA18" s="522">
        <f>+$G$18*AA17*(1+'SITE Model - INPUT PARAMETERS'!$C$29)^(X$16-1)</f>
        <v>439268.41438126814</v>
      </c>
      <c r="AB18" s="522">
        <f>+$G$18*AB17*(1+'SITE Model - INPUT PARAMETERS'!$C$29)^(Y$16-1)</f>
        <v>443661.09852508077</v>
      </c>
      <c r="AC18" s="522">
        <f>+$G$18*AC17*(1+'SITE Model - INPUT PARAMETERS'!$C$29)^(Z$16-1)</f>
        <v>448097.70951033168</v>
      </c>
      <c r="AD18" s="522">
        <f>+$G$18*AD17*(1+'SITE Model - INPUT PARAMETERS'!$C$29)^(AA$16-1)</f>
        <v>452578.68660543492</v>
      </c>
      <c r="AE18" s="522">
        <f>+$G$18*AE17*(1+'SITE Model - INPUT PARAMETERS'!$C$29)^(AB$16-1)</f>
        <v>457104.47347148939</v>
      </c>
    </row>
    <row r="19" spans="2:31" x14ac:dyDescent="0.3">
      <c r="B19" s="415" t="s">
        <v>129</v>
      </c>
      <c r="G19" s="522">
        <f>+D11*G17</f>
        <v>60000</v>
      </c>
      <c r="H19" s="522">
        <f>+$G$19*H17*(1+'SITE Model - INPUT PARAMETERS'!$C$29)^(E$16-1)</f>
        <v>60600</v>
      </c>
      <c r="I19" s="522">
        <f>+$G$19*I17*(1+'SITE Model - INPUT PARAMETERS'!$C$29)^(F$16-1)</f>
        <v>61206</v>
      </c>
      <c r="J19" s="522">
        <f>+$G$19*J17*(1+'SITE Model - INPUT PARAMETERS'!$C$29)^(G$16-1)</f>
        <v>61818.06</v>
      </c>
      <c r="K19" s="522">
        <f>+$G$19*K17*(1+'SITE Model - INPUT PARAMETERS'!$C$29)^(H$16-1)</f>
        <v>62436.240600000005</v>
      </c>
      <c r="L19" s="522">
        <f>+$G$19*L17*(1+'SITE Model - INPUT PARAMETERS'!$C$29)^(I$16-1)</f>
        <v>63060.603005999998</v>
      </c>
      <c r="M19" s="522">
        <f>+$G$19*M17*(1+'SITE Model - INPUT PARAMETERS'!$C$29)^(J$16-1)</f>
        <v>63691.209036060005</v>
      </c>
      <c r="N19" s="522">
        <f>+$G$19*N17*(1+'SITE Model - INPUT PARAMETERS'!$C$29)^(K$16-1)</f>
        <v>64328.121126420592</v>
      </c>
      <c r="O19" s="522">
        <f>+$G$19*O17*(1+'SITE Model - INPUT PARAMETERS'!$C$29)^(L$16-1)</f>
        <v>64971.402337684813</v>
      </c>
      <c r="P19" s="522">
        <f>+$G$19*P17*(1+'SITE Model - INPUT PARAMETERS'!$C$29)^(M$16-1)</f>
        <v>65621.116361061664</v>
      </c>
      <c r="Q19" s="522">
        <f>+$G$19*Q17*(1+'SITE Model - INPUT PARAMETERS'!$C$29)^(N$16-1)</f>
        <v>66277.327524672291</v>
      </c>
      <c r="R19" s="522">
        <f>+$G$19*R17*(1+'SITE Model - INPUT PARAMETERS'!$C$29)^(O$16-1)</f>
        <v>66940.10079991899</v>
      </c>
      <c r="S19" s="522">
        <f>+$G$19*S17*(1+'SITE Model - INPUT PARAMETERS'!$C$29)^(P$16-1)</f>
        <v>67609.50180791819</v>
      </c>
      <c r="T19" s="522">
        <f>+$G$19*T17*(1+'SITE Model - INPUT PARAMETERS'!$C$29)^(Q$16-1)</f>
        <v>68285.596825997374</v>
      </c>
      <c r="U19" s="522">
        <f>+$G$19*U17*(1+'SITE Model - INPUT PARAMETERS'!$C$29)^(R$16-1)</f>
        <v>68968.452794257348</v>
      </c>
      <c r="V19" s="522">
        <f>+$G$19*V17*(1+'SITE Model - INPUT PARAMETERS'!$C$29)^(S$16-1)</f>
        <v>69658.137322199909</v>
      </c>
      <c r="W19" s="522">
        <f>+$G$19*W17*(1+'SITE Model - INPUT PARAMETERS'!$C$29)^(T$16-1)</f>
        <v>70354.718695421921</v>
      </c>
      <c r="X19" s="522">
        <f>+$G$19*X17*(1+'SITE Model - INPUT PARAMETERS'!$C$29)^(U$16-1)</f>
        <v>71058.265882376145</v>
      </c>
      <c r="Y19" s="522">
        <f>+$G$19*Y17*(1+'SITE Model - INPUT PARAMETERS'!$C$29)^(V$16-1)</f>
        <v>71768.848541199914</v>
      </c>
      <c r="Z19" s="522">
        <f>+$G$19*Z17*(1+'SITE Model - INPUT PARAMETERS'!$C$29)^(W$16-1)</f>
        <v>72486.537026611899</v>
      </c>
      <c r="AA19" s="522">
        <f>+$G$19*AA17*(1+'SITE Model - INPUT PARAMETERS'!$C$29)^(X$16-1)</f>
        <v>73211.402396878024</v>
      </c>
      <c r="AB19" s="522">
        <f>+$G$19*AB17*(1+'SITE Model - INPUT PARAMETERS'!$C$29)^(Y$16-1)</f>
        <v>73943.51642084679</v>
      </c>
      <c r="AC19" s="522">
        <f>+$G$19*AC17*(1+'SITE Model - INPUT PARAMETERS'!$C$29)^(Z$16-1)</f>
        <v>74682.951585055285</v>
      </c>
      <c r="AD19" s="522">
        <f>+$G$19*AD17*(1+'SITE Model - INPUT PARAMETERS'!$C$29)^(AA$16-1)</f>
        <v>75429.78110090582</v>
      </c>
      <c r="AE19" s="522">
        <f>+$G$19*AE17*(1+'SITE Model - INPUT PARAMETERS'!$C$29)^(AB$16-1)</f>
        <v>76184.078911914898</v>
      </c>
    </row>
    <row r="20" spans="2:31" ht="15" thickBot="1" x14ac:dyDescent="0.35">
      <c r="B20" s="415" t="s">
        <v>130</v>
      </c>
      <c r="G20" s="522">
        <f>+E11*G17</f>
        <v>42000</v>
      </c>
      <c r="H20" s="522">
        <f>+$G$20*H17*(1+'SITE Model - INPUT PARAMETERS'!$C$29)^(E$16-1)</f>
        <v>42420</v>
      </c>
      <c r="I20" s="522">
        <f>+$G$20*I17*(1+'SITE Model - INPUT PARAMETERS'!$C$29)^(F$16-1)</f>
        <v>42844.2</v>
      </c>
      <c r="J20" s="522">
        <f>+$G$20*J17*(1+'SITE Model - INPUT PARAMETERS'!$C$29)^(G$16-1)</f>
        <v>43272.642</v>
      </c>
      <c r="K20" s="522">
        <f>+$G$20*K17*(1+'SITE Model - INPUT PARAMETERS'!$C$29)^(H$16-1)</f>
        <v>43705.368419999999</v>
      </c>
      <c r="L20" s="522">
        <f>+$G$20*L17*(1+'SITE Model - INPUT PARAMETERS'!$C$29)^(I$16-1)</f>
        <v>44142.422104199999</v>
      </c>
      <c r="M20" s="522">
        <f>+$G$20*M17*(1+'SITE Model - INPUT PARAMETERS'!$C$29)^(J$16-1)</f>
        <v>44583.846325242004</v>
      </c>
      <c r="N20" s="522">
        <f>+$G$20*N17*(1+'SITE Model - INPUT PARAMETERS'!$C$29)^(K$16-1)</f>
        <v>45029.684788494415</v>
      </c>
      <c r="O20" s="522">
        <f>+$G$20*O17*(1+'SITE Model - INPUT PARAMETERS'!$C$29)^(L$16-1)</f>
        <v>45479.981636379373</v>
      </c>
      <c r="P20" s="522">
        <f>+$G$20*P17*(1+'SITE Model - INPUT PARAMETERS'!$C$29)^(M$16-1)</f>
        <v>45934.781452743169</v>
      </c>
      <c r="Q20" s="522">
        <f>+$G$20*Q17*(1+'SITE Model - INPUT PARAMETERS'!$C$29)^(N$16-1)</f>
        <v>46394.129267270597</v>
      </c>
      <c r="R20" s="522">
        <f>+$G$20*R17*(1+'SITE Model - INPUT PARAMETERS'!$C$29)^(O$16-1)</f>
        <v>46858.070559943299</v>
      </c>
      <c r="S20" s="522">
        <f>+$G$20*S17*(1+'SITE Model - INPUT PARAMETERS'!$C$29)^(P$16-1)</f>
        <v>47326.651265542729</v>
      </c>
      <c r="T20" s="522">
        <f>+$G$20*T17*(1+'SITE Model - INPUT PARAMETERS'!$C$29)^(Q$16-1)</f>
        <v>47799.917778198156</v>
      </c>
      <c r="U20" s="522">
        <f>+$G$20*U17*(1+'SITE Model - INPUT PARAMETERS'!$C$29)^(R$16-1)</f>
        <v>48277.916955980145</v>
      </c>
      <c r="V20" s="522">
        <f>+$G$20*V17*(1+'SITE Model - INPUT PARAMETERS'!$C$29)^(S$16-1)</f>
        <v>48760.696125539936</v>
      </c>
      <c r="W20" s="522">
        <f>+$G$20*W17*(1+'SITE Model - INPUT PARAMETERS'!$C$29)^(T$16-1)</f>
        <v>49248.303086795349</v>
      </c>
      <c r="X20" s="522">
        <f>+$G$20*X17*(1+'SITE Model - INPUT PARAMETERS'!$C$29)^(U$16-1)</f>
        <v>49740.786117663309</v>
      </c>
      <c r="Y20" s="522">
        <f>+$G$20*Y17*(1+'SITE Model - INPUT PARAMETERS'!$C$29)^(V$16-1)</f>
        <v>50238.19397883994</v>
      </c>
      <c r="Z20" s="522">
        <f>+$G$20*Z17*(1+'SITE Model - INPUT PARAMETERS'!$C$29)^(W$16-1)</f>
        <v>50740.575918628325</v>
      </c>
      <c r="AA20" s="522">
        <f>+$G$20*AA17*(1+'SITE Model - INPUT PARAMETERS'!$C$29)^(X$16-1)</f>
        <v>51247.981677814612</v>
      </c>
      <c r="AB20" s="522">
        <f>+$G$20*AB17*(1+'SITE Model - INPUT PARAMETERS'!$C$29)^(Y$16-1)</f>
        <v>51760.461494592753</v>
      </c>
      <c r="AC20" s="522">
        <f>+$G$20*AC17*(1+'SITE Model - INPUT PARAMETERS'!$C$29)^(Z$16-1)</f>
        <v>52278.066109538697</v>
      </c>
      <c r="AD20" s="522">
        <f>+$G$20*AD17*(1+'SITE Model - INPUT PARAMETERS'!$C$29)^(AA$16-1)</f>
        <v>52800.846770634074</v>
      </c>
      <c r="AE20" s="522">
        <f>+$G$20*AE17*(1+'SITE Model - INPUT PARAMETERS'!$C$29)^(AB$16-1)</f>
        <v>53328.855238340431</v>
      </c>
    </row>
    <row r="21" spans="2:31" ht="28.05" customHeight="1" thickBot="1" x14ac:dyDescent="0.35">
      <c r="B21" s="430" t="s">
        <v>188</v>
      </c>
      <c r="C21" s="431"/>
      <c r="D21" s="521"/>
      <c r="E21" s="521"/>
      <c r="F21" s="521"/>
      <c r="G21" s="523">
        <f>SUM(G18:G20)</f>
        <v>462000</v>
      </c>
      <c r="H21" s="523">
        <f t="shared" ref="H21:AE21" si="1">SUM(H18:H20)</f>
        <v>466620</v>
      </c>
      <c r="I21" s="523">
        <f t="shared" si="1"/>
        <v>471286.2</v>
      </c>
      <c r="J21" s="523">
        <f t="shared" si="1"/>
        <v>475999.06199999998</v>
      </c>
      <c r="K21" s="523">
        <f t="shared" si="1"/>
        <v>480759.05262000003</v>
      </c>
      <c r="L21" s="523">
        <f t="shared" si="1"/>
        <v>485566.64314619999</v>
      </c>
      <c r="M21" s="523">
        <f t="shared" si="1"/>
        <v>490422.30957766209</v>
      </c>
      <c r="N21" s="523">
        <f t="shared" si="1"/>
        <v>495326.5326734386</v>
      </c>
      <c r="O21" s="523">
        <f t="shared" si="1"/>
        <v>500279.79800017306</v>
      </c>
      <c r="P21" s="523">
        <f t="shared" si="1"/>
        <v>505282.59598017478</v>
      </c>
      <c r="Q21" s="523">
        <f t="shared" si="1"/>
        <v>510335.42193997657</v>
      </c>
      <c r="R21" s="523">
        <f t="shared" si="1"/>
        <v>515438.77615937626</v>
      </c>
      <c r="S21" s="523">
        <f t="shared" si="1"/>
        <v>520593.16392097005</v>
      </c>
      <c r="T21" s="523">
        <f t="shared" si="1"/>
        <v>525799.09556017979</v>
      </c>
      <c r="U21" s="523">
        <f t="shared" si="1"/>
        <v>531057.08651578159</v>
      </c>
      <c r="V21" s="523">
        <f t="shared" si="1"/>
        <v>536367.65738093934</v>
      </c>
      <c r="W21" s="523">
        <f t="shared" si="1"/>
        <v>541731.33395474881</v>
      </c>
      <c r="X21" s="523">
        <f t="shared" si="1"/>
        <v>547148.6472942963</v>
      </c>
      <c r="Y21" s="523">
        <f t="shared" si="1"/>
        <v>552620.1337672394</v>
      </c>
      <c r="Z21" s="523">
        <f t="shared" si="1"/>
        <v>558146.33510491159</v>
      </c>
      <c r="AA21" s="523">
        <f t="shared" si="1"/>
        <v>563727.79845596082</v>
      </c>
      <c r="AB21" s="523">
        <f t="shared" si="1"/>
        <v>569365.07644052035</v>
      </c>
      <c r="AC21" s="523">
        <f t="shared" si="1"/>
        <v>575058.72720492561</v>
      </c>
      <c r="AD21" s="523">
        <f t="shared" si="1"/>
        <v>580809.31447697477</v>
      </c>
      <c r="AE21" s="524">
        <f t="shared" si="1"/>
        <v>586617.40762174467</v>
      </c>
    </row>
  </sheetData>
  <mergeCells count="3">
    <mergeCell ref="B2:F2"/>
    <mergeCell ref="B4:F4"/>
    <mergeCell ref="B16:C1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B3C8-7C22-4585-8DF5-3DE5027A53FD}">
  <dimension ref="B2:AF21"/>
  <sheetViews>
    <sheetView topLeftCell="C10" workbookViewId="0">
      <selection activeCell="G21" sqref="G21"/>
    </sheetView>
  </sheetViews>
  <sheetFormatPr defaultColWidth="11.44140625" defaultRowHeight="14.4" x14ac:dyDescent="0.3"/>
  <cols>
    <col min="1" max="1" width="3.77734375" customWidth="1"/>
    <col min="2" max="2" width="27.77734375" customWidth="1"/>
    <col min="3" max="3" width="18.21875" bestFit="1" customWidth="1"/>
    <col min="4" max="4" width="16.21875" customWidth="1"/>
    <col min="5" max="5" width="18.44140625" customWidth="1"/>
    <col min="6" max="6" width="16.21875" customWidth="1"/>
    <col min="7" max="7" width="13.21875" bestFit="1" customWidth="1"/>
    <col min="8" max="8" width="15.5546875" customWidth="1"/>
    <col min="9" max="9" width="17.77734375" customWidth="1"/>
    <col min="10" max="10" width="16.44140625" customWidth="1"/>
    <col min="11" max="11" width="17.77734375" customWidth="1"/>
    <col min="12" max="12" width="17.44140625" customWidth="1"/>
    <col min="13" max="13" width="15.21875" customWidth="1"/>
    <col min="14" max="14" width="15" customWidth="1"/>
    <col min="15" max="15" width="17.77734375" customWidth="1"/>
    <col min="16" max="16" width="18.44140625" customWidth="1"/>
    <col min="17" max="17" width="18.77734375" customWidth="1"/>
    <col min="18" max="18" width="16.21875" customWidth="1"/>
    <col min="19" max="19" width="17.21875" bestFit="1" customWidth="1"/>
    <col min="20" max="20" width="18.5546875" bestFit="1" customWidth="1"/>
    <col min="21" max="21" width="19.77734375" customWidth="1"/>
    <col min="22" max="36" width="16.21875" customWidth="1"/>
  </cols>
  <sheetData>
    <row r="2" spans="2:32" ht="17.399999999999999" x14ac:dyDescent="0.3">
      <c r="B2" s="552" t="s">
        <v>180</v>
      </c>
      <c r="C2" s="552"/>
      <c r="D2" s="552"/>
      <c r="E2" s="552"/>
      <c r="F2" s="552"/>
      <c r="G2" s="432"/>
      <c r="H2" s="432"/>
    </row>
    <row r="3" spans="2:32" ht="18" thickBot="1" x14ac:dyDescent="0.35">
      <c r="B3" s="410"/>
      <c r="C3" s="410"/>
      <c r="D3" s="410"/>
      <c r="E3" s="410"/>
      <c r="F3" s="410"/>
    </row>
    <row r="4" spans="2:32" s="1" customFormat="1" ht="18.600000000000001" customHeight="1" thickBot="1" x14ac:dyDescent="0.3">
      <c r="B4" s="553" t="s">
        <v>197</v>
      </c>
      <c r="C4" s="554"/>
      <c r="D4" s="554"/>
      <c r="E4" s="554"/>
      <c r="F4" s="555"/>
      <c r="G4" s="411"/>
      <c r="H4" s="411"/>
      <c r="I4" s="411"/>
      <c r="J4" s="2"/>
      <c r="K4" s="2"/>
      <c r="L4" s="2"/>
    </row>
    <row r="5" spans="2:32" s="1" customFormat="1" ht="21.75" customHeight="1" thickBot="1" x14ac:dyDescent="0.35">
      <c r="B5" s="395" t="s">
        <v>0</v>
      </c>
      <c r="C5" s="396" t="s">
        <v>128</v>
      </c>
      <c r="D5" s="395" t="s">
        <v>129</v>
      </c>
      <c r="E5" s="395" t="s">
        <v>181</v>
      </c>
      <c r="F5" s="412" t="s">
        <v>182</v>
      </c>
      <c r="H5" s="58"/>
      <c r="I5" s="62"/>
      <c r="J5" s="33"/>
      <c r="K5" s="2"/>
      <c r="L5" s="2"/>
    </row>
    <row r="6" spans="2:32" s="1" customFormat="1" ht="15" thickBot="1" x14ac:dyDescent="0.35">
      <c r="B6" s="437" t="s">
        <v>183</v>
      </c>
      <c r="C6" s="397">
        <v>0.7</v>
      </c>
      <c r="D6" s="398">
        <v>0.2</v>
      </c>
      <c r="E6" s="399">
        <v>0.1</v>
      </c>
      <c r="F6" s="436"/>
      <c r="H6" s="58"/>
      <c r="I6" s="62"/>
      <c r="J6" s="33"/>
      <c r="K6" s="2"/>
      <c r="L6" s="2"/>
    </row>
    <row r="7" spans="2:32" s="1" customFormat="1" x14ac:dyDescent="0.3">
      <c r="B7" s="433"/>
      <c r="C7" s="401"/>
      <c r="D7" s="402" t="s">
        <v>0</v>
      </c>
      <c r="E7" s="401"/>
      <c r="F7" s="434"/>
      <c r="H7" s="58"/>
      <c r="I7" s="62"/>
      <c r="J7" s="33"/>
      <c r="K7" s="2"/>
      <c r="L7" s="2"/>
    </row>
    <row r="8" spans="2:32" s="1" customFormat="1" x14ac:dyDescent="0.3">
      <c r="B8" s="400" t="s">
        <v>184</v>
      </c>
      <c r="C8" s="475">
        <f>80*22*40</f>
        <v>70400</v>
      </c>
      <c r="D8" s="476">
        <f>40*22*10</f>
        <v>8800</v>
      </c>
      <c r="E8" s="476">
        <f>(C8+D8)*E6</f>
        <v>7920</v>
      </c>
      <c r="F8" s="477">
        <f>SUM(C8:E8)</f>
        <v>87120</v>
      </c>
      <c r="H8" s="58"/>
      <c r="I8" s="62"/>
      <c r="J8" s="33"/>
      <c r="K8" s="2"/>
      <c r="L8" s="2"/>
    </row>
    <row r="9" spans="2:32" s="1" customFormat="1" ht="15.6" customHeight="1" x14ac:dyDescent="0.3">
      <c r="B9" s="435"/>
      <c r="C9" s="478"/>
      <c r="D9" s="479"/>
      <c r="E9" s="479"/>
      <c r="F9" s="480"/>
      <c r="H9" s="58"/>
      <c r="I9" s="62"/>
      <c r="J9" s="33"/>
      <c r="K9" s="2"/>
      <c r="L9" s="2"/>
    </row>
    <row r="10" spans="2:32" s="1" customFormat="1" ht="15" customHeight="1" x14ac:dyDescent="0.3">
      <c r="B10" s="403"/>
      <c r="C10" s="481"/>
      <c r="D10" s="479"/>
      <c r="E10" s="479"/>
      <c r="F10" s="480"/>
      <c r="H10" s="58"/>
      <c r="I10" s="59"/>
      <c r="J10" s="2"/>
      <c r="K10" s="2"/>
      <c r="L10" s="2"/>
    </row>
    <row r="11" spans="2:32" s="1" customFormat="1" ht="15" customHeight="1" thickBot="1" x14ac:dyDescent="0.35">
      <c r="B11" s="404" t="s">
        <v>185</v>
      </c>
      <c r="C11" s="482">
        <f>C8*12</f>
        <v>844800</v>
      </c>
      <c r="D11" s="482">
        <f>D8*12</f>
        <v>105600</v>
      </c>
      <c r="E11" s="482">
        <f>E8*12</f>
        <v>95040</v>
      </c>
      <c r="F11" s="483">
        <f>+E11+D11+C11</f>
        <v>1045440</v>
      </c>
      <c r="H11" s="58"/>
      <c r="I11" s="59"/>
      <c r="J11" s="2"/>
      <c r="K11" s="2"/>
      <c r="L11" s="2"/>
    </row>
    <row r="12" spans="2:32" s="1" customFormat="1" x14ac:dyDescent="0.3">
      <c r="B12" s="268"/>
      <c r="C12" s="405"/>
      <c r="D12" s="406"/>
      <c r="E12" s="407" t="s">
        <v>0</v>
      </c>
      <c r="F12" s="407"/>
      <c r="G12" s="44"/>
      <c r="H12" s="44"/>
      <c r="I12" s="44"/>
      <c r="J12" s="44"/>
      <c r="K12" s="44"/>
      <c r="L12" s="44"/>
      <c r="M12" s="44"/>
      <c r="N12" s="49"/>
      <c r="O12" s="293"/>
      <c r="P12" s="51"/>
      <c r="Q12" s="45"/>
      <c r="R12" s="45"/>
      <c r="S12" s="45"/>
      <c r="T12" s="34"/>
      <c r="U12" s="31"/>
      <c r="V12" s="50"/>
      <c r="W12" s="2"/>
      <c r="X12" s="2"/>
      <c r="Y12" s="2"/>
    </row>
    <row r="15" spans="2:32" ht="15" customHeight="1" thickBot="1" x14ac:dyDescent="0.35"/>
    <row r="16" spans="2:32" s="11" customFormat="1" ht="30.75" customHeight="1" x14ac:dyDescent="0.3">
      <c r="B16" s="550" t="s">
        <v>186</v>
      </c>
      <c r="C16" s="551"/>
      <c r="D16" s="36">
        <v>1</v>
      </c>
      <c r="E16" s="36">
        <f>D16+1</f>
        <v>2</v>
      </c>
      <c r="F16" s="36">
        <f t="shared" ref="F16:AB16" si="0">E16+1</f>
        <v>3</v>
      </c>
      <c r="G16" s="36">
        <f t="shared" si="0"/>
        <v>4</v>
      </c>
      <c r="H16" s="36">
        <f t="shared" si="0"/>
        <v>5</v>
      </c>
      <c r="I16" s="36">
        <f t="shared" si="0"/>
        <v>6</v>
      </c>
      <c r="J16" s="36">
        <f t="shared" si="0"/>
        <v>7</v>
      </c>
      <c r="K16" s="36">
        <f>J16+1</f>
        <v>8</v>
      </c>
      <c r="L16" s="36">
        <f t="shared" si="0"/>
        <v>9</v>
      </c>
      <c r="M16" s="36">
        <f t="shared" si="0"/>
        <v>10</v>
      </c>
      <c r="N16" s="36">
        <f t="shared" si="0"/>
        <v>11</v>
      </c>
      <c r="O16" s="36">
        <f t="shared" si="0"/>
        <v>12</v>
      </c>
      <c r="P16" s="36">
        <f t="shared" si="0"/>
        <v>13</v>
      </c>
      <c r="Q16" s="36">
        <f t="shared" si="0"/>
        <v>14</v>
      </c>
      <c r="R16" s="36">
        <f t="shared" si="0"/>
        <v>15</v>
      </c>
      <c r="S16" s="36">
        <f>R16+1</f>
        <v>16</v>
      </c>
      <c r="T16" s="36">
        <f>S16+1</f>
        <v>17</v>
      </c>
      <c r="U16" s="36">
        <f t="shared" si="0"/>
        <v>18</v>
      </c>
      <c r="V16" s="36">
        <f t="shared" si="0"/>
        <v>19</v>
      </c>
      <c r="W16" s="37">
        <f t="shared" si="0"/>
        <v>20</v>
      </c>
      <c r="X16" s="37">
        <f t="shared" si="0"/>
        <v>21</v>
      </c>
      <c r="Y16" s="37">
        <f t="shared" si="0"/>
        <v>22</v>
      </c>
      <c r="Z16" s="37">
        <f t="shared" si="0"/>
        <v>23</v>
      </c>
      <c r="AA16" s="408">
        <f t="shared" si="0"/>
        <v>24</v>
      </c>
      <c r="AB16" s="409">
        <f t="shared" si="0"/>
        <v>25</v>
      </c>
      <c r="AC16" s="1"/>
      <c r="AD16" s="1"/>
      <c r="AE16" s="1"/>
      <c r="AF16" s="1"/>
    </row>
    <row r="17" spans="2:31" ht="30.75" customHeight="1" x14ac:dyDescent="0.3">
      <c r="B17" s="380" t="s">
        <v>132</v>
      </c>
      <c r="H17" s="441">
        <v>1</v>
      </c>
      <c r="I17" s="441">
        <v>1</v>
      </c>
      <c r="J17" s="441">
        <v>1</v>
      </c>
      <c r="K17" s="441">
        <v>1</v>
      </c>
      <c r="L17" s="441">
        <v>1</v>
      </c>
      <c r="M17" s="441">
        <v>1</v>
      </c>
      <c r="N17" s="441">
        <v>1</v>
      </c>
      <c r="O17" s="441">
        <v>1</v>
      </c>
      <c r="P17" s="441">
        <v>1</v>
      </c>
      <c r="Q17" s="441">
        <v>1</v>
      </c>
      <c r="R17" s="441">
        <v>1</v>
      </c>
      <c r="S17" s="441">
        <v>1</v>
      </c>
      <c r="T17" s="441">
        <v>1</v>
      </c>
      <c r="U17" s="441">
        <v>1</v>
      </c>
      <c r="V17" s="441">
        <v>1</v>
      </c>
      <c r="W17" s="441">
        <v>1</v>
      </c>
      <c r="X17" s="441">
        <v>1</v>
      </c>
      <c r="Y17" s="441">
        <v>1</v>
      </c>
      <c r="Z17" s="441">
        <v>1</v>
      </c>
      <c r="AA17" s="441">
        <v>1</v>
      </c>
      <c r="AB17" s="441">
        <v>1</v>
      </c>
      <c r="AC17" s="441">
        <v>1</v>
      </c>
      <c r="AD17" s="441">
        <v>1</v>
      </c>
      <c r="AE17" s="441">
        <v>1</v>
      </c>
    </row>
    <row r="18" spans="2:31" x14ac:dyDescent="0.3">
      <c r="B18" s="415" t="s">
        <v>187</v>
      </c>
      <c r="H18" s="522">
        <f>+C11*H17</f>
        <v>844800</v>
      </c>
      <c r="I18" s="522">
        <f>+$H$18*I17*(1+'SITE Model - INPUT PARAMETERS'!$C$29)^(E$16-1)</f>
        <v>853248</v>
      </c>
      <c r="J18" s="522">
        <f>+$H$18*J17*(1+'SITE Model - INPUT PARAMETERS'!$C$29)^(F$16-1)</f>
        <v>861780.47999999998</v>
      </c>
      <c r="K18" s="522">
        <f>+$H$18*K17*(1+'SITE Model - INPUT PARAMETERS'!$C$29)^(G$16-1)</f>
        <v>870398.28479999991</v>
      </c>
      <c r="L18" s="522">
        <f>+$H$18*L17*(1+'SITE Model - INPUT PARAMETERS'!$C$29)^(H$16-1)</f>
        <v>879102.26764800004</v>
      </c>
      <c r="M18" s="522">
        <f>+$H$18*M17*(1+'SITE Model - INPUT PARAMETERS'!$C$29)^(I$16-1)</f>
        <v>887893.29032447992</v>
      </c>
      <c r="N18" s="522">
        <f>+$H$18*N17*(1+'SITE Model - INPUT PARAMETERS'!$C$29)^(J$16-1)</f>
        <v>896772.2232277249</v>
      </c>
      <c r="O18" s="522">
        <f>+$H$18*O17*(1+'SITE Model - INPUT PARAMETERS'!$C$29)^(K$16-1)</f>
        <v>905739.94546000194</v>
      </c>
      <c r="P18" s="522">
        <f>+$H$18*P17*(1+'SITE Model - INPUT PARAMETERS'!$C$29)^(L$16-1)</f>
        <v>914797.34491460223</v>
      </c>
      <c r="Q18" s="522">
        <f>+$H$18*Q17*(1+'SITE Model - INPUT PARAMETERS'!$C$29)^(M$16-1)</f>
        <v>923945.31836374826</v>
      </c>
      <c r="R18" s="522">
        <f>+$H$18*R17*(1+'SITE Model - INPUT PARAMETERS'!$C$29)^(N$16-1)</f>
        <v>933184.77154738572</v>
      </c>
      <c r="S18" s="522">
        <f>+$H$18*S17*(1+'SITE Model - INPUT PARAMETERS'!$C$29)^(O$16-1)</f>
        <v>942516.61926285946</v>
      </c>
      <c r="T18" s="522">
        <f>+$H$18*T17*(1+'SITE Model - INPUT PARAMETERS'!$C$29)^(P$16-1)</f>
        <v>951941.78545548802</v>
      </c>
      <c r="U18" s="522">
        <f>+$H$18*U17*(1+'SITE Model - INPUT PARAMETERS'!$C$29)^(Q$16-1)</f>
        <v>961461.20331004297</v>
      </c>
      <c r="V18" s="522">
        <f>+$H$18*V17*(1+'SITE Model - INPUT PARAMETERS'!$C$29)^(R$16-1)</f>
        <v>971075.81534314353</v>
      </c>
      <c r="W18" s="522">
        <f>+$H$18*W17*(1+'SITE Model - INPUT PARAMETERS'!$C$29)^(S$16-1)</f>
        <v>980786.57349657465</v>
      </c>
      <c r="X18" s="522">
        <f>+$H$18*X17*(1+'SITE Model - INPUT PARAMETERS'!$C$29)^(T$16-1)</f>
        <v>990594.43923154077</v>
      </c>
      <c r="Y18" s="522">
        <f>+$H$18*Y17*(1+'SITE Model - INPUT PARAMETERS'!$C$29)^(U$16-1)</f>
        <v>1000500.3836238562</v>
      </c>
      <c r="Z18" s="522">
        <f>+$H$18*Z17*(1+'SITE Model - INPUT PARAMETERS'!$C$29)^(V$16-1)</f>
        <v>1010505.3874600948</v>
      </c>
      <c r="AA18" s="522">
        <f>+$H$18*AA17*(1+'SITE Model - INPUT PARAMETERS'!$C$29)^(W$16-1)</f>
        <v>1020610.4413346956</v>
      </c>
      <c r="AB18" s="522">
        <f>+$H$18*AB17*(1+'SITE Model - INPUT PARAMETERS'!$C$29)^(X$16-1)</f>
        <v>1030816.5457480425</v>
      </c>
      <c r="AC18" s="522">
        <f>+$H$18*AC17*(1+'SITE Model - INPUT PARAMETERS'!$C$29)^(Y$16-1)</f>
        <v>1041124.7112055229</v>
      </c>
      <c r="AD18" s="522">
        <f>+$H$18*AD17*(1+'SITE Model - INPUT PARAMETERS'!$C$29)^(Z$16-1)</f>
        <v>1051535.9583175783</v>
      </c>
      <c r="AE18" s="522">
        <f>+$H$18*AE17*(1+'SITE Model - INPUT PARAMETERS'!$C$29)^(AA$16-1)</f>
        <v>1062051.317900754</v>
      </c>
    </row>
    <row r="19" spans="2:31" x14ac:dyDescent="0.3">
      <c r="B19" s="415" t="s">
        <v>129</v>
      </c>
      <c r="H19" s="522">
        <f>+D11*H17</f>
        <v>105600</v>
      </c>
      <c r="I19" s="522">
        <f>+$H$19*I17*(1+'SITE Model - INPUT PARAMETERS'!$C$29)^(E$16-1)</f>
        <v>106656</v>
      </c>
      <c r="J19" s="522">
        <f>+$H$19*J17*(1+'SITE Model - INPUT PARAMETERS'!$C$29)^(F$16-1)</f>
        <v>107722.56</v>
      </c>
      <c r="K19" s="522">
        <f>+$H$19*K17*(1+'SITE Model - INPUT PARAMETERS'!$C$29)^(G$16-1)</f>
        <v>108799.78559999999</v>
      </c>
      <c r="L19" s="522">
        <f>+$H$19*L17*(1+'SITE Model - INPUT PARAMETERS'!$C$29)^(H$16-1)</f>
        <v>109887.783456</v>
      </c>
      <c r="M19" s="522">
        <f>+$H$19*M17*(1+'SITE Model - INPUT PARAMETERS'!$C$29)^(I$16-1)</f>
        <v>110986.66129055999</v>
      </c>
      <c r="N19" s="522">
        <f>+$H$19*N17*(1+'SITE Model - INPUT PARAMETERS'!$C$29)^(J$16-1)</f>
        <v>112096.52790346561</v>
      </c>
      <c r="O19" s="522">
        <f>+$H$19*O17*(1+'SITE Model - INPUT PARAMETERS'!$C$29)^(K$16-1)</f>
        <v>113217.49318250024</v>
      </c>
      <c r="P19" s="522">
        <f>+$H$19*P17*(1+'SITE Model - INPUT PARAMETERS'!$C$29)^(L$16-1)</f>
        <v>114349.66811432528</v>
      </c>
      <c r="Q19" s="522">
        <f>+$H$19*Q17*(1+'SITE Model - INPUT PARAMETERS'!$C$29)^(M$16-1)</f>
        <v>115493.16479546853</v>
      </c>
      <c r="R19" s="522">
        <f>+$H$19*R17*(1+'SITE Model - INPUT PARAMETERS'!$C$29)^(N$16-1)</f>
        <v>116648.09644342322</v>
      </c>
      <c r="S19" s="522">
        <f>+$H$19*S17*(1+'SITE Model - INPUT PARAMETERS'!$C$29)^(O$16-1)</f>
        <v>117814.57740785743</v>
      </c>
      <c r="T19" s="522">
        <f>+$H$19*T17*(1+'SITE Model - INPUT PARAMETERS'!$C$29)^(P$16-1)</f>
        <v>118992.723181936</v>
      </c>
      <c r="U19" s="522">
        <f>+$H$19*U17*(1+'SITE Model - INPUT PARAMETERS'!$C$29)^(Q$16-1)</f>
        <v>120182.65041375537</v>
      </c>
      <c r="V19" s="522">
        <f>+$H$19*V17*(1+'SITE Model - INPUT PARAMETERS'!$C$29)^(R$16-1)</f>
        <v>121384.47691789294</v>
      </c>
      <c r="W19" s="522">
        <f>+$H$19*W17*(1+'SITE Model - INPUT PARAMETERS'!$C$29)^(S$16-1)</f>
        <v>122598.32168707183</v>
      </c>
      <c r="X19" s="522">
        <f>+$H$19*X17*(1+'SITE Model - INPUT PARAMETERS'!$C$29)^(T$16-1)</f>
        <v>123824.3049039426</v>
      </c>
      <c r="Y19" s="522">
        <f>+$H$19*Y17*(1+'SITE Model - INPUT PARAMETERS'!$C$29)^(U$16-1)</f>
        <v>125062.54795298203</v>
      </c>
      <c r="Z19" s="522">
        <f>+$H$19*Z17*(1+'SITE Model - INPUT PARAMETERS'!$C$29)^(V$16-1)</f>
        <v>126313.17343251185</v>
      </c>
      <c r="AA19" s="522">
        <f>+$H$19*AA17*(1+'SITE Model - INPUT PARAMETERS'!$C$29)^(W$16-1)</f>
        <v>127576.30516683694</v>
      </c>
      <c r="AB19" s="522">
        <f>+$H$19*AB17*(1+'SITE Model - INPUT PARAMETERS'!$C$29)^(X$16-1)</f>
        <v>128852.06821850532</v>
      </c>
      <c r="AC19" s="522">
        <f>+$H$19*AC17*(1+'SITE Model - INPUT PARAMETERS'!$C$29)^(Y$16-1)</f>
        <v>130140.58890069036</v>
      </c>
      <c r="AD19" s="522">
        <f>+$H$19*AD17*(1+'SITE Model - INPUT PARAMETERS'!$C$29)^(Z$16-1)</f>
        <v>131441.99478969729</v>
      </c>
      <c r="AE19" s="522">
        <f>+$H$19*AE17*(1+'SITE Model - INPUT PARAMETERS'!$C$29)^(AA$16-1)</f>
        <v>132756.41473759426</v>
      </c>
    </row>
    <row r="20" spans="2:31" ht="15" thickBot="1" x14ac:dyDescent="0.35">
      <c r="B20" s="415" t="s">
        <v>130</v>
      </c>
      <c r="H20" s="522">
        <f>+E11*H17</f>
        <v>95040</v>
      </c>
      <c r="I20" s="522">
        <f>+$H$20*I17*(1+'SITE Model - INPUT PARAMETERS'!$C$29)^(E$16-1)</f>
        <v>95990.399999999994</v>
      </c>
      <c r="J20" s="522">
        <f>+$H$20*J17*(1+'SITE Model - INPUT PARAMETERS'!$C$29)^(F$16-1)</f>
        <v>96950.304000000004</v>
      </c>
      <c r="K20" s="522">
        <f>+$H$20*K17*(1+'SITE Model - INPUT PARAMETERS'!$C$29)^(G$16-1)</f>
        <v>97919.807039999985</v>
      </c>
      <c r="L20" s="522">
        <f>+$H$20*L17*(1+'SITE Model - INPUT PARAMETERS'!$C$29)^(H$16-1)</f>
        <v>98899.005110400001</v>
      </c>
      <c r="M20" s="522">
        <f>+$H$20*M17*(1+'SITE Model - INPUT PARAMETERS'!$C$29)^(I$16-1)</f>
        <v>99887.99516150399</v>
      </c>
      <c r="N20" s="522">
        <f>+$H$20*N17*(1+'SITE Model - INPUT PARAMETERS'!$C$29)^(J$16-1)</f>
        <v>100886.87511311905</v>
      </c>
      <c r="O20" s="522">
        <f>+$H$20*O17*(1+'SITE Model - INPUT PARAMETERS'!$C$29)^(K$16-1)</f>
        <v>101895.74386425021</v>
      </c>
      <c r="P20" s="522">
        <f>+$H$20*P17*(1+'SITE Model - INPUT PARAMETERS'!$C$29)^(L$16-1)</f>
        <v>102914.70130289275</v>
      </c>
      <c r="Q20" s="522">
        <f>+$H$20*Q17*(1+'SITE Model - INPUT PARAMETERS'!$C$29)^(M$16-1)</f>
        <v>103943.84831592168</v>
      </c>
      <c r="R20" s="522">
        <f>+$H$20*R17*(1+'SITE Model - INPUT PARAMETERS'!$C$29)^(N$16-1)</f>
        <v>104983.2867990809</v>
      </c>
      <c r="S20" s="522">
        <f>+$H$20*S17*(1+'SITE Model - INPUT PARAMETERS'!$C$29)^(O$16-1)</f>
        <v>106033.11966707169</v>
      </c>
      <c r="T20" s="522">
        <f>+$H$20*T17*(1+'SITE Model - INPUT PARAMETERS'!$C$29)^(P$16-1)</f>
        <v>107093.4508637424</v>
      </c>
      <c r="U20" s="522">
        <f>+$H$20*U17*(1+'SITE Model - INPUT PARAMETERS'!$C$29)^(Q$16-1)</f>
        <v>108164.38537237984</v>
      </c>
      <c r="V20" s="522">
        <f>+$H$20*V17*(1+'SITE Model - INPUT PARAMETERS'!$C$29)^(R$16-1)</f>
        <v>109246.02922610365</v>
      </c>
      <c r="W20" s="522">
        <f>+$H$20*W17*(1+'SITE Model - INPUT PARAMETERS'!$C$29)^(S$16-1)</f>
        <v>110338.48951836466</v>
      </c>
      <c r="X20" s="522">
        <f>+$H$20*X17*(1+'SITE Model - INPUT PARAMETERS'!$C$29)^(T$16-1)</f>
        <v>111441.87441354833</v>
      </c>
      <c r="Y20" s="522">
        <f>+$H$20*Y17*(1+'SITE Model - INPUT PARAMETERS'!$C$29)^(U$16-1)</f>
        <v>112556.29315768382</v>
      </c>
      <c r="Z20" s="522">
        <f>+$H$20*Z17*(1+'SITE Model - INPUT PARAMETERS'!$C$29)^(V$16-1)</f>
        <v>113681.85608926066</v>
      </c>
      <c r="AA20" s="522">
        <f>+$H$20*AA17*(1+'SITE Model - INPUT PARAMETERS'!$C$29)^(W$16-1)</f>
        <v>114818.67465015325</v>
      </c>
      <c r="AB20" s="522">
        <f>+$H$20*AB17*(1+'SITE Model - INPUT PARAMETERS'!$C$29)^(X$16-1)</f>
        <v>115966.86139665479</v>
      </c>
      <c r="AC20" s="522">
        <f>+$H$20*AC17*(1+'SITE Model - INPUT PARAMETERS'!$C$29)^(Y$16-1)</f>
        <v>117126.53001062133</v>
      </c>
      <c r="AD20" s="522">
        <f>+$H$20*AD17*(1+'SITE Model - INPUT PARAMETERS'!$C$29)^(Z$16-1)</f>
        <v>118297.79531072757</v>
      </c>
      <c r="AE20" s="522">
        <f>+$H$20*AE17*(1+'SITE Model - INPUT PARAMETERS'!$C$29)^(AA$16-1)</f>
        <v>119480.77326383482</v>
      </c>
    </row>
    <row r="21" spans="2:31" ht="28.05" customHeight="1" thickBot="1" x14ac:dyDescent="0.35">
      <c r="B21" s="430" t="s">
        <v>188</v>
      </c>
      <c r="C21" s="431"/>
      <c r="D21" s="521"/>
      <c r="E21" s="521"/>
      <c r="F21" s="521"/>
      <c r="G21" s="521"/>
      <c r="H21" s="523">
        <f>SUM(H18:H20)</f>
        <v>1045440</v>
      </c>
      <c r="I21" s="523">
        <f>SUM(I18:I20)</f>
        <v>1055894.3999999999</v>
      </c>
      <c r="J21" s="523">
        <f>SUM(J18:J20)</f>
        <v>1066453.344</v>
      </c>
      <c r="K21" s="523">
        <f>SUM(K18:K20)</f>
        <v>1077117.87744</v>
      </c>
      <c r="L21" s="523">
        <f>SUM(L18:L20)</f>
        <v>1087889.0562144001</v>
      </c>
      <c r="M21" s="523">
        <f>SUM(M18:M20)</f>
        <v>1098767.946776544</v>
      </c>
      <c r="N21" s="523">
        <f>SUM(N18:N20)</f>
        <v>1109755.6262443096</v>
      </c>
      <c r="O21" s="523">
        <f>SUM(O18:O20)</f>
        <v>1120853.1825067524</v>
      </c>
      <c r="P21" s="523">
        <f>SUM(P18:P20)</f>
        <v>1132061.7143318201</v>
      </c>
      <c r="Q21" s="523">
        <f>SUM(Q18:Q20)</f>
        <v>1143382.3314751384</v>
      </c>
      <c r="R21" s="523">
        <f>SUM(R18:R20)</f>
        <v>1154816.1547898899</v>
      </c>
      <c r="S21" s="523">
        <f>SUM(S18:S20)</f>
        <v>1166364.3163377885</v>
      </c>
      <c r="T21" s="523">
        <f>SUM(T18:T20)</f>
        <v>1178027.9595011666</v>
      </c>
      <c r="U21" s="523">
        <f>SUM(U18:U20)</f>
        <v>1189808.2390961782</v>
      </c>
      <c r="V21" s="523">
        <f>SUM(V18:V20)</f>
        <v>1201706.3214871401</v>
      </c>
      <c r="W21" s="523">
        <f>SUM(W18:W20)</f>
        <v>1213723.3847020112</v>
      </c>
      <c r="X21" s="523">
        <f>SUM(X18:X20)</f>
        <v>1225860.6185490317</v>
      </c>
      <c r="Y21" s="523">
        <f>SUM(Y18:Y20)</f>
        <v>1238119.2247345222</v>
      </c>
      <c r="Z21" s="523">
        <f>SUM(Z18:Z20)</f>
        <v>1250500.4169818673</v>
      </c>
      <c r="AA21" s="523">
        <f>SUM(AA18:AA20)</f>
        <v>1263005.4211516855</v>
      </c>
      <c r="AB21" s="523">
        <f>SUM(AB18:AB20)</f>
        <v>1275635.4753632026</v>
      </c>
      <c r="AC21" s="523">
        <f>SUM(AC18:AC20)</f>
        <v>1288391.8301168345</v>
      </c>
      <c r="AD21" s="523">
        <f>SUM(AD18:AD20)</f>
        <v>1301275.7484180031</v>
      </c>
      <c r="AE21" s="523">
        <f>SUM(AE18:AE20)</f>
        <v>1314288.5059021832</v>
      </c>
    </row>
  </sheetData>
  <mergeCells count="3">
    <mergeCell ref="B2:F2"/>
    <mergeCell ref="B4:F4"/>
    <mergeCell ref="B16:C1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9FBA-B56D-4AF1-A3CA-6A4D93BAAC4B}">
  <dimension ref="B2:AF21"/>
  <sheetViews>
    <sheetView topLeftCell="C10" workbookViewId="0">
      <selection activeCell="G21" sqref="G21"/>
    </sheetView>
  </sheetViews>
  <sheetFormatPr defaultColWidth="11.44140625" defaultRowHeight="14.4" x14ac:dyDescent="0.3"/>
  <cols>
    <col min="1" max="1" width="3.77734375" customWidth="1"/>
    <col min="2" max="2" width="27.77734375" customWidth="1"/>
    <col min="3" max="3" width="18.21875" bestFit="1" customWidth="1"/>
    <col min="4" max="4" width="16.21875" customWidth="1"/>
    <col min="5" max="5" width="18.44140625" customWidth="1"/>
    <col min="6" max="6" width="16.21875" customWidth="1"/>
    <col min="7" max="7" width="13.21875" bestFit="1" customWidth="1"/>
    <col min="8" max="8" width="15.5546875" customWidth="1"/>
    <col min="9" max="9" width="17.77734375" customWidth="1"/>
    <col min="10" max="10" width="16.44140625" customWidth="1"/>
    <col min="11" max="11" width="17.77734375" customWidth="1"/>
    <col min="12" max="12" width="17.44140625" customWidth="1"/>
    <col min="13" max="13" width="15.21875" customWidth="1"/>
    <col min="14" max="14" width="15" customWidth="1"/>
    <col min="15" max="15" width="17.77734375" customWidth="1"/>
    <col min="16" max="16" width="18.44140625" customWidth="1"/>
    <col min="17" max="17" width="18.77734375" customWidth="1"/>
    <col min="18" max="18" width="16.21875" customWidth="1"/>
    <col min="19" max="19" width="17.21875" bestFit="1" customWidth="1"/>
    <col min="20" max="20" width="18.5546875" bestFit="1" customWidth="1"/>
    <col min="21" max="21" width="19.77734375" customWidth="1"/>
    <col min="22" max="36" width="16.21875" customWidth="1"/>
  </cols>
  <sheetData>
    <row r="2" spans="2:32" ht="17.399999999999999" x14ac:dyDescent="0.3">
      <c r="B2" s="552" t="s">
        <v>180</v>
      </c>
      <c r="C2" s="552"/>
      <c r="D2" s="552"/>
      <c r="E2" s="552"/>
      <c r="F2" s="552"/>
      <c r="G2" s="432"/>
      <c r="H2" s="432"/>
    </row>
    <row r="3" spans="2:32" ht="18" thickBot="1" x14ac:dyDescent="0.35">
      <c r="B3" s="410"/>
      <c r="C3" s="410"/>
      <c r="D3" s="410"/>
      <c r="E3" s="410"/>
      <c r="F3" s="410"/>
    </row>
    <row r="4" spans="2:32" s="1" customFormat="1" ht="18.600000000000001" customHeight="1" thickBot="1" x14ac:dyDescent="0.3">
      <c r="B4" s="553" t="s">
        <v>199</v>
      </c>
      <c r="C4" s="554"/>
      <c r="D4" s="554"/>
      <c r="E4" s="554"/>
      <c r="F4" s="555"/>
      <c r="G4" s="411"/>
      <c r="H4" s="411"/>
      <c r="I4" s="411"/>
      <c r="J4" s="2"/>
      <c r="K4" s="2"/>
      <c r="L4" s="2"/>
    </row>
    <row r="5" spans="2:32" s="1" customFormat="1" ht="21.75" customHeight="1" thickBot="1" x14ac:dyDescent="0.35">
      <c r="B5" s="395" t="s">
        <v>0</v>
      </c>
      <c r="C5" s="396" t="s">
        <v>128</v>
      </c>
      <c r="D5" s="395" t="s">
        <v>129</v>
      </c>
      <c r="E5" s="395" t="s">
        <v>181</v>
      </c>
      <c r="F5" s="412" t="s">
        <v>182</v>
      </c>
      <c r="H5" s="58"/>
      <c r="I5" s="62"/>
      <c r="J5" s="33"/>
      <c r="K5" s="2"/>
      <c r="L5" s="2"/>
    </row>
    <row r="6" spans="2:32" s="1" customFormat="1" ht="15" thickBot="1" x14ac:dyDescent="0.35">
      <c r="B6" s="437" t="s">
        <v>183</v>
      </c>
      <c r="C6" s="397">
        <v>0.7</v>
      </c>
      <c r="D6" s="398">
        <v>0.2</v>
      </c>
      <c r="E6" s="399">
        <v>0.1</v>
      </c>
      <c r="F6" s="436"/>
      <c r="H6" s="58"/>
      <c r="I6" s="62"/>
      <c r="J6" s="33"/>
      <c r="K6" s="2"/>
      <c r="L6" s="2"/>
    </row>
    <row r="7" spans="2:32" s="1" customFormat="1" x14ac:dyDescent="0.3">
      <c r="B7" s="433"/>
      <c r="C7" s="401"/>
      <c r="D7" s="402" t="s">
        <v>0</v>
      </c>
      <c r="E7" s="401"/>
      <c r="F7" s="434"/>
      <c r="H7" s="58"/>
      <c r="I7" s="62"/>
      <c r="J7" s="33"/>
      <c r="K7" s="2"/>
      <c r="L7" s="2"/>
    </row>
    <row r="8" spans="2:32" s="1" customFormat="1" x14ac:dyDescent="0.3">
      <c r="B8" s="400" t="s">
        <v>184</v>
      </c>
      <c r="C8" s="475">
        <f>40*22*30</f>
        <v>26400</v>
      </c>
      <c r="D8" s="476">
        <f>20*20*10</f>
        <v>4000</v>
      </c>
      <c r="E8" s="476">
        <f>(C8+D8)*E6</f>
        <v>3040</v>
      </c>
      <c r="F8" s="477">
        <f>SUM(C8:E8)</f>
        <v>33440</v>
      </c>
      <c r="H8" s="58"/>
      <c r="I8" s="62"/>
      <c r="J8" s="33"/>
      <c r="K8" s="2"/>
      <c r="L8" s="2"/>
    </row>
    <row r="9" spans="2:32" s="1" customFormat="1" ht="15.6" customHeight="1" x14ac:dyDescent="0.3">
      <c r="B9" s="435"/>
      <c r="C9" s="478"/>
      <c r="D9" s="479"/>
      <c r="E9" s="479"/>
      <c r="F9" s="480"/>
      <c r="H9" s="58"/>
      <c r="I9" s="62"/>
      <c r="J9" s="33"/>
      <c r="K9" s="2"/>
      <c r="L9" s="2"/>
    </row>
    <row r="10" spans="2:32" s="1" customFormat="1" ht="15" customHeight="1" x14ac:dyDescent="0.3">
      <c r="B10" s="403"/>
      <c r="C10" s="481"/>
      <c r="D10" s="479"/>
      <c r="E10" s="479"/>
      <c r="F10" s="480"/>
      <c r="H10" s="58"/>
      <c r="I10" s="59"/>
      <c r="J10" s="2"/>
      <c r="K10" s="2"/>
      <c r="L10" s="2"/>
    </row>
    <row r="11" spans="2:32" s="1" customFormat="1" ht="15" customHeight="1" thickBot="1" x14ac:dyDescent="0.35">
      <c r="B11" s="404" t="s">
        <v>185</v>
      </c>
      <c r="C11" s="482">
        <f>C8*12</f>
        <v>316800</v>
      </c>
      <c r="D11" s="482">
        <f>D8*12</f>
        <v>48000</v>
      </c>
      <c r="E11" s="482">
        <f>E8*12</f>
        <v>36480</v>
      </c>
      <c r="F11" s="483">
        <f>+E11+D11+C11</f>
        <v>401280</v>
      </c>
      <c r="H11" s="58"/>
      <c r="I11" s="59"/>
      <c r="J11" s="2"/>
      <c r="K11" s="2"/>
      <c r="L11" s="2"/>
    </row>
    <row r="12" spans="2:32" s="1" customFormat="1" x14ac:dyDescent="0.3">
      <c r="B12" s="268"/>
      <c r="C12" s="405"/>
      <c r="D12" s="406"/>
      <c r="E12" s="407" t="s">
        <v>0</v>
      </c>
      <c r="F12" s="407"/>
      <c r="G12" s="44"/>
      <c r="H12" s="44"/>
      <c r="I12" s="44"/>
      <c r="J12" s="44"/>
      <c r="K12" s="44"/>
      <c r="L12" s="44"/>
      <c r="M12" s="44"/>
      <c r="N12" s="49"/>
      <c r="O12" s="293"/>
      <c r="P12" s="51"/>
      <c r="Q12" s="45"/>
      <c r="R12" s="45"/>
      <c r="S12" s="45"/>
      <c r="T12" s="34"/>
      <c r="U12" s="31"/>
      <c r="V12" s="50"/>
      <c r="W12" s="2"/>
      <c r="X12" s="2"/>
      <c r="Y12" s="2"/>
    </row>
    <row r="15" spans="2:32" ht="15" customHeight="1" thickBot="1" x14ac:dyDescent="0.35"/>
    <row r="16" spans="2:32" s="11" customFormat="1" ht="30.75" customHeight="1" x14ac:dyDescent="0.3">
      <c r="B16" s="550" t="s">
        <v>186</v>
      </c>
      <c r="C16" s="551"/>
      <c r="D16" s="36">
        <v>1</v>
      </c>
      <c r="E16" s="36">
        <f>D16+1</f>
        <v>2</v>
      </c>
      <c r="F16" s="36">
        <f t="shared" ref="F16:AB16" si="0">E16+1</f>
        <v>3</v>
      </c>
      <c r="G16" s="36">
        <f t="shared" si="0"/>
        <v>4</v>
      </c>
      <c r="H16" s="36">
        <f t="shared" si="0"/>
        <v>5</v>
      </c>
      <c r="I16" s="36">
        <f t="shared" si="0"/>
        <v>6</v>
      </c>
      <c r="J16" s="36">
        <f t="shared" si="0"/>
        <v>7</v>
      </c>
      <c r="K16" s="36">
        <f>J16+1</f>
        <v>8</v>
      </c>
      <c r="L16" s="36">
        <f t="shared" si="0"/>
        <v>9</v>
      </c>
      <c r="M16" s="36">
        <f t="shared" si="0"/>
        <v>10</v>
      </c>
      <c r="N16" s="36">
        <f t="shared" si="0"/>
        <v>11</v>
      </c>
      <c r="O16" s="36">
        <f t="shared" si="0"/>
        <v>12</v>
      </c>
      <c r="P16" s="36">
        <f t="shared" si="0"/>
        <v>13</v>
      </c>
      <c r="Q16" s="36">
        <f t="shared" si="0"/>
        <v>14</v>
      </c>
      <c r="R16" s="36">
        <f t="shared" si="0"/>
        <v>15</v>
      </c>
      <c r="S16" s="36">
        <f>R16+1</f>
        <v>16</v>
      </c>
      <c r="T16" s="36">
        <f>S16+1</f>
        <v>17</v>
      </c>
      <c r="U16" s="36">
        <f t="shared" si="0"/>
        <v>18</v>
      </c>
      <c r="V16" s="36">
        <f t="shared" si="0"/>
        <v>19</v>
      </c>
      <c r="W16" s="37">
        <f t="shared" si="0"/>
        <v>20</v>
      </c>
      <c r="X16" s="37">
        <f t="shared" si="0"/>
        <v>21</v>
      </c>
      <c r="Y16" s="37">
        <f t="shared" si="0"/>
        <v>22</v>
      </c>
      <c r="Z16" s="37">
        <f t="shared" si="0"/>
        <v>23</v>
      </c>
      <c r="AA16" s="408">
        <f t="shared" si="0"/>
        <v>24</v>
      </c>
      <c r="AB16" s="409">
        <f t="shared" si="0"/>
        <v>25</v>
      </c>
      <c r="AC16" s="1"/>
      <c r="AD16" s="1"/>
      <c r="AE16" s="1"/>
      <c r="AF16" s="1"/>
    </row>
    <row r="17" spans="2:31" ht="30.75" customHeight="1" x14ac:dyDescent="0.3">
      <c r="B17" s="380" t="s">
        <v>132</v>
      </c>
      <c r="H17" s="441">
        <v>1</v>
      </c>
      <c r="I17" s="441">
        <v>1</v>
      </c>
      <c r="J17" s="441">
        <v>1</v>
      </c>
      <c r="K17" s="441">
        <v>1</v>
      </c>
      <c r="L17" s="441">
        <v>1</v>
      </c>
      <c r="M17" s="441">
        <v>1</v>
      </c>
      <c r="N17" s="441">
        <v>1</v>
      </c>
      <c r="O17" s="441">
        <v>1</v>
      </c>
      <c r="P17" s="441">
        <v>1</v>
      </c>
      <c r="Q17" s="441">
        <v>1</v>
      </c>
      <c r="R17" s="441">
        <v>1</v>
      </c>
      <c r="S17" s="441">
        <v>1</v>
      </c>
      <c r="T17" s="441">
        <v>1</v>
      </c>
      <c r="U17" s="441">
        <v>1</v>
      </c>
      <c r="V17" s="441">
        <v>1</v>
      </c>
      <c r="W17" s="441">
        <v>1</v>
      </c>
      <c r="X17" s="441">
        <v>1</v>
      </c>
      <c r="Y17" s="441">
        <v>1</v>
      </c>
      <c r="Z17" s="441">
        <v>1</v>
      </c>
      <c r="AA17" s="441">
        <v>1</v>
      </c>
      <c r="AB17" s="441">
        <v>1</v>
      </c>
      <c r="AC17" s="441">
        <v>1</v>
      </c>
      <c r="AD17" s="441">
        <v>1</v>
      </c>
      <c r="AE17" s="441">
        <v>1</v>
      </c>
    </row>
    <row r="18" spans="2:31" x14ac:dyDescent="0.3">
      <c r="B18" s="415" t="s">
        <v>187</v>
      </c>
      <c r="H18" s="522">
        <f>+C11*H17</f>
        <v>316800</v>
      </c>
      <c r="I18" s="522">
        <f>+$H$18*I17*(1+'SITE Model - INPUT PARAMETERS'!$C$29)^(E$16-1)</f>
        <v>319968</v>
      </c>
      <c r="J18" s="522">
        <f>+$H$18*J17*(1+'SITE Model - INPUT PARAMETERS'!$C$29)^(F$16-1)</f>
        <v>323167.68</v>
      </c>
      <c r="K18" s="522">
        <f>+$H$18*K17*(1+'SITE Model - INPUT PARAMETERS'!$C$29)^(G$16-1)</f>
        <v>326399.35679999995</v>
      </c>
      <c r="L18" s="522">
        <f>+$H$18*L17*(1+'SITE Model - INPUT PARAMETERS'!$C$29)^(H$16-1)</f>
        <v>329663.35036799998</v>
      </c>
      <c r="M18" s="522">
        <f>+$H$18*M17*(1+'SITE Model - INPUT PARAMETERS'!$C$29)^(I$16-1)</f>
        <v>332959.98387167999</v>
      </c>
      <c r="N18" s="522">
        <f>+$H$18*N17*(1+'SITE Model - INPUT PARAMETERS'!$C$29)^(J$16-1)</f>
        <v>336289.58371039684</v>
      </c>
      <c r="O18" s="522">
        <f>+$H$18*O17*(1+'SITE Model - INPUT PARAMETERS'!$C$29)^(K$16-1)</f>
        <v>339652.47954750073</v>
      </c>
      <c r="P18" s="522">
        <f>+$H$18*P17*(1+'SITE Model - INPUT PARAMETERS'!$C$29)^(L$16-1)</f>
        <v>343049.00434297579</v>
      </c>
      <c r="Q18" s="522">
        <f>+$H$18*Q17*(1+'SITE Model - INPUT PARAMETERS'!$C$29)^(M$16-1)</f>
        <v>346479.49438640563</v>
      </c>
      <c r="R18" s="522">
        <f>+$H$18*R17*(1+'SITE Model - INPUT PARAMETERS'!$C$29)^(N$16-1)</f>
        <v>349944.28933026968</v>
      </c>
      <c r="S18" s="522">
        <f>+$H$18*S17*(1+'SITE Model - INPUT PARAMETERS'!$C$29)^(O$16-1)</f>
        <v>353443.73222357227</v>
      </c>
      <c r="T18" s="522">
        <f>+$H$18*T17*(1+'SITE Model - INPUT PARAMETERS'!$C$29)^(P$16-1)</f>
        <v>356978.16954580805</v>
      </c>
      <c r="U18" s="522">
        <f>+$H$18*U17*(1+'SITE Model - INPUT PARAMETERS'!$C$29)^(Q$16-1)</f>
        <v>360547.9512412661</v>
      </c>
      <c r="V18" s="522">
        <f>+$H$18*V17*(1+'SITE Model - INPUT PARAMETERS'!$C$29)^(R$16-1)</f>
        <v>364153.43075367884</v>
      </c>
      <c r="W18" s="522">
        <f>+$H$18*W17*(1+'SITE Model - INPUT PARAMETERS'!$C$29)^(S$16-1)</f>
        <v>367794.96506121551</v>
      </c>
      <c r="X18" s="522">
        <f>+$H$18*X17*(1+'SITE Model - INPUT PARAMETERS'!$C$29)^(T$16-1)</f>
        <v>371472.91471182776</v>
      </c>
      <c r="Y18" s="522">
        <f>+$H$18*Y17*(1+'SITE Model - INPUT PARAMETERS'!$C$29)^(U$16-1)</f>
        <v>375187.64385894604</v>
      </c>
      <c r="Z18" s="522">
        <f>+$H$18*Z17*(1+'SITE Model - INPUT PARAMETERS'!$C$29)^(V$16-1)</f>
        <v>378939.52029753552</v>
      </c>
      <c r="AA18" s="522">
        <f>+$H$18*AA17*(1+'SITE Model - INPUT PARAMETERS'!$C$29)^(W$16-1)</f>
        <v>382728.91550051083</v>
      </c>
      <c r="AB18" s="522">
        <f>+$H$18*AB17*(1+'SITE Model - INPUT PARAMETERS'!$C$29)^(X$16-1)</f>
        <v>386556.20465551596</v>
      </c>
      <c r="AC18" s="522">
        <f>+$H$18*AC17*(1+'SITE Model - INPUT PARAMETERS'!$C$29)^(Y$16-1)</f>
        <v>390421.76670207107</v>
      </c>
      <c r="AD18" s="522">
        <f>+$H$18*AD17*(1+'SITE Model - INPUT PARAMETERS'!$C$29)^(Z$16-1)</f>
        <v>394325.98436909186</v>
      </c>
      <c r="AE18" s="522">
        <f>+$H$18*AE17*(1+'SITE Model - INPUT PARAMETERS'!$C$29)^(AA$16-1)</f>
        <v>398269.24421278277</v>
      </c>
    </row>
    <row r="19" spans="2:31" x14ac:dyDescent="0.3">
      <c r="B19" s="415" t="s">
        <v>129</v>
      </c>
      <c r="H19" s="522">
        <f>+D11*H17</f>
        <v>48000</v>
      </c>
      <c r="I19" s="522">
        <f>+$H$19*I17*(1+'SITE Model - INPUT PARAMETERS'!$C$29)^(E$16-1)</f>
        <v>48480</v>
      </c>
      <c r="J19" s="522">
        <f>+$H$19*J17*(1+'SITE Model - INPUT PARAMETERS'!$C$29)^(F$16-1)</f>
        <v>48964.800000000003</v>
      </c>
      <c r="K19" s="522">
        <f>+$H$19*K17*(1+'SITE Model - INPUT PARAMETERS'!$C$29)^(G$16-1)</f>
        <v>49454.447999999997</v>
      </c>
      <c r="L19" s="522">
        <f>+$H$19*L17*(1+'SITE Model - INPUT PARAMETERS'!$C$29)^(H$16-1)</f>
        <v>49948.992480000001</v>
      </c>
      <c r="M19" s="522">
        <f>+$H$19*M17*(1+'SITE Model - INPUT PARAMETERS'!$C$29)^(I$16-1)</f>
        <v>50448.482404799994</v>
      </c>
      <c r="N19" s="522">
        <f>+$H$19*N17*(1+'SITE Model - INPUT PARAMETERS'!$C$29)^(J$16-1)</f>
        <v>50952.967228848007</v>
      </c>
      <c r="O19" s="522">
        <f>+$H$19*O17*(1+'SITE Model - INPUT PARAMETERS'!$C$29)^(K$16-1)</f>
        <v>51462.496901136474</v>
      </c>
      <c r="P19" s="522">
        <f>+$H$19*P17*(1+'SITE Model - INPUT PARAMETERS'!$C$29)^(L$16-1)</f>
        <v>51977.12187014785</v>
      </c>
      <c r="Q19" s="522">
        <f>+$H$19*Q17*(1+'SITE Model - INPUT PARAMETERS'!$C$29)^(M$16-1)</f>
        <v>52496.893088849334</v>
      </c>
      <c r="R19" s="522">
        <f>+$H$19*R17*(1+'SITE Model - INPUT PARAMETERS'!$C$29)^(N$16-1)</f>
        <v>53021.862019737826</v>
      </c>
      <c r="S19" s="522">
        <f>+$H$19*S17*(1+'SITE Model - INPUT PARAMETERS'!$C$29)^(O$16-1)</f>
        <v>53552.080639935193</v>
      </c>
      <c r="T19" s="522">
        <f>+$H$19*T17*(1+'SITE Model - INPUT PARAMETERS'!$C$29)^(P$16-1)</f>
        <v>54087.601446334549</v>
      </c>
      <c r="U19" s="522">
        <f>+$H$19*U17*(1+'SITE Model - INPUT PARAMETERS'!$C$29)^(Q$16-1)</f>
        <v>54628.477460797898</v>
      </c>
      <c r="V19" s="522">
        <f>+$H$19*V17*(1+'SITE Model - INPUT PARAMETERS'!$C$29)^(R$16-1)</f>
        <v>55174.762235405884</v>
      </c>
      <c r="W19" s="522">
        <f>+$H$19*W17*(1+'SITE Model - INPUT PARAMETERS'!$C$29)^(S$16-1)</f>
        <v>55726.509857759927</v>
      </c>
      <c r="X19" s="522">
        <f>+$H$19*X17*(1+'SITE Model - INPUT PARAMETERS'!$C$29)^(T$16-1)</f>
        <v>56283.77495633754</v>
      </c>
      <c r="Y19" s="522">
        <f>+$H$19*Y17*(1+'SITE Model - INPUT PARAMETERS'!$C$29)^(U$16-1)</f>
        <v>56846.612705900923</v>
      </c>
      <c r="Z19" s="522">
        <f>+$H$19*Z17*(1+'SITE Model - INPUT PARAMETERS'!$C$29)^(V$16-1)</f>
        <v>57415.078832959931</v>
      </c>
      <c r="AA19" s="522">
        <f>+$H$19*AA17*(1+'SITE Model - INPUT PARAMETERS'!$C$29)^(W$16-1)</f>
        <v>57989.229621289516</v>
      </c>
      <c r="AB19" s="522">
        <f>+$H$19*AB17*(1+'SITE Model - INPUT PARAMETERS'!$C$29)^(X$16-1)</f>
        <v>58569.121917502416</v>
      </c>
      <c r="AC19" s="522">
        <f>+$H$19*AC17*(1+'SITE Model - INPUT PARAMETERS'!$C$29)^(Y$16-1)</f>
        <v>59154.81313667744</v>
      </c>
      <c r="AD19" s="522">
        <f>+$H$19*AD17*(1+'SITE Model - INPUT PARAMETERS'!$C$29)^(Z$16-1)</f>
        <v>59746.361268044224</v>
      </c>
      <c r="AE19" s="522">
        <f>+$H$19*AE17*(1+'SITE Model - INPUT PARAMETERS'!$C$29)^(AA$16-1)</f>
        <v>60343.824880724656</v>
      </c>
    </row>
    <row r="20" spans="2:31" ht="15" thickBot="1" x14ac:dyDescent="0.35">
      <c r="B20" s="415" t="s">
        <v>130</v>
      </c>
      <c r="H20" s="522">
        <f>+E11*H17</f>
        <v>36480</v>
      </c>
      <c r="I20" s="522">
        <f>+$H$20*I17*(1+'SITE Model - INPUT PARAMETERS'!$C$29)^(E$16-1)</f>
        <v>36844.800000000003</v>
      </c>
      <c r="J20" s="522">
        <f>+$H$20*J17*(1+'SITE Model - INPUT PARAMETERS'!$C$29)^(F$16-1)</f>
        <v>37213.248</v>
      </c>
      <c r="K20" s="522">
        <f>+$H$20*K17*(1+'SITE Model - INPUT PARAMETERS'!$C$29)^(G$16-1)</f>
        <v>37585.38048</v>
      </c>
      <c r="L20" s="522">
        <f>+$H$20*L17*(1+'SITE Model - INPUT PARAMETERS'!$C$29)^(H$16-1)</f>
        <v>37961.234284800004</v>
      </c>
      <c r="M20" s="522">
        <f>+$H$20*M17*(1+'SITE Model - INPUT PARAMETERS'!$C$29)^(I$16-1)</f>
        <v>38340.846627647996</v>
      </c>
      <c r="N20" s="522">
        <f>+$H$20*N17*(1+'SITE Model - INPUT PARAMETERS'!$C$29)^(J$16-1)</f>
        <v>38724.255093924483</v>
      </c>
      <c r="O20" s="522">
        <f>+$H$20*O17*(1+'SITE Model - INPUT PARAMETERS'!$C$29)^(K$16-1)</f>
        <v>39111.497644863717</v>
      </c>
      <c r="P20" s="522">
        <f>+$H$20*P17*(1+'SITE Model - INPUT PARAMETERS'!$C$29)^(L$16-1)</f>
        <v>39502.612621312364</v>
      </c>
      <c r="Q20" s="522">
        <f>+$H$20*Q17*(1+'SITE Model - INPUT PARAMETERS'!$C$29)^(M$16-1)</f>
        <v>39897.638747525496</v>
      </c>
      <c r="R20" s="522">
        <f>+$H$20*R17*(1+'SITE Model - INPUT PARAMETERS'!$C$29)^(N$16-1)</f>
        <v>40296.615135000749</v>
      </c>
      <c r="S20" s="522">
        <f>+$H$20*S17*(1+'SITE Model - INPUT PARAMETERS'!$C$29)^(O$16-1)</f>
        <v>40699.581286350745</v>
      </c>
      <c r="T20" s="522">
        <f>+$H$20*T17*(1+'SITE Model - INPUT PARAMETERS'!$C$29)^(P$16-1)</f>
        <v>41106.577099214257</v>
      </c>
      <c r="U20" s="522">
        <f>+$H$20*U17*(1+'SITE Model - INPUT PARAMETERS'!$C$29)^(Q$16-1)</f>
        <v>41517.6428702064</v>
      </c>
      <c r="V20" s="522">
        <f>+$H$20*V17*(1+'SITE Model - INPUT PARAMETERS'!$C$29)^(R$16-1)</f>
        <v>41932.819298908471</v>
      </c>
      <c r="W20" s="522">
        <f>+$H$20*W17*(1+'SITE Model - INPUT PARAMETERS'!$C$29)^(S$16-1)</f>
        <v>42352.147491897544</v>
      </c>
      <c r="X20" s="522">
        <f>+$H$20*X17*(1+'SITE Model - INPUT PARAMETERS'!$C$29)^(T$16-1)</f>
        <v>42775.668966816535</v>
      </c>
      <c r="Y20" s="522">
        <f>+$H$20*Y17*(1+'SITE Model - INPUT PARAMETERS'!$C$29)^(U$16-1)</f>
        <v>43203.425656484702</v>
      </c>
      <c r="Z20" s="522">
        <f>+$H$20*Z17*(1+'SITE Model - INPUT PARAMETERS'!$C$29)^(V$16-1)</f>
        <v>43635.459913049548</v>
      </c>
      <c r="AA20" s="522">
        <f>+$H$20*AA17*(1+'SITE Model - INPUT PARAMETERS'!$C$29)^(W$16-1)</f>
        <v>44071.814512180033</v>
      </c>
      <c r="AB20" s="522">
        <f>+$H$20*AB17*(1+'SITE Model - INPUT PARAMETERS'!$C$29)^(X$16-1)</f>
        <v>44512.532657301839</v>
      </c>
      <c r="AC20" s="522">
        <f>+$H$20*AC17*(1+'SITE Model - INPUT PARAMETERS'!$C$29)^(Y$16-1)</f>
        <v>44957.657983874851</v>
      </c>
      <c r="AD20" s="522">
        <f>+$H$20*AD17*(1+'SITE Model - INPUT PARAMETERS'!$C$29)^(Z$16-1)</f>
        <v>45407.23456371361</v>
      </c>
      <c r="AE20" s="522">
        <f>+$H$20*AE17*(1+'SITE Model - INPUT PARAMETERS'!$C$29)^(AA$16-1)</f>
        <v>45861.306909350737</v>
      </c>
    </row>
    <row r="21" spans="2:31" ht="28.05" customHeight="1" thickBot="1" x14ac:dyDescent="0.35">
      <c r="B21" s="430" t="s">
        <v>188</v>
      </c>
      <c r="C21" s="431"/>
      <c r="D21" s="521"/>
      <c r="E21" s="521"/>
      <c r="F21" s="521"/>
      <c r="G21" s="521"/>
      <c r="H21" s="523">
        <f>SUM(H18:H20)</f>
        <v>401280</v>
      </c>
      <c r="I21" s="523">
        <f>SUM(I18:I20)</f>
        <v>405292.79999999999</v>
      </c>
      <c r="J21" s="523">
        <f>SUM(J18:J20)</f>
        <v>409345.728</v>
      </c>
      <c r="K21" s="523">
        <f>SUM(K18:K20)</f>
        <v>413439.18527999992</v>
      </c>
      <c r="L21" s="523">
        <f>SUM(L18:L20)</f>
        <v>417573.57713280001</v>
      </c>
      <c r="M21" s="523">
        <f>SUM(M18:M20)</f>
        <v>421749.31290412799</v>
      </c>
      <c r="N21" s="523">
        <f>SUM(N18:N20)</f>
        <v>425966.80603316933</v>
      </c>
      <c r="O21" s="523">
        <f>SUM(O18:O20)</f>
        <v>430226.47409350093</v>
      </c>
      <c r="P21" s="523">
        <f>SUM(P18:P20)</f>
        <v>434528.73883443605</v>
      </c>
      <c r="Q21" s="523">
        <f>SUM(Q18:Q20)</f>
        <v>438874.02622278046</v>
      </c>
      <c r="R21" s="523">
        <f>SUM(R18:R20)</f>
        <v>443262.76648500824</v>
      </c>
      <c r="S21" s="523">
        <f>SUM(S18:S20)</f>
        <v>447695.39414985821</v>
      </c>
      <c r="T21" s="523">
        <f>SUM(T18:T20)</f>
        <v>452172.34809135686</v>
      </c>
      <c r="U21" s="523">
        <f>SUM(U18:U20)</f>
        <v>456694.07157227036</v>
      </c>
      <c r="V21" s="523">
        <f>SUM(V18:V20)</f>
        <v>461261.01228799322</v>
      </c>
      <c r="W21" s="523">
        <f>SUM(W18:W20)</f>
        <v>465873.62241087295</v>
      </c>
      <c r="X21" s="523">
        <f>SUM(X18:X20)</f>
        <v>470532.35863498179</v>
      </c>
      <c r="Y21" s="523">
        <f>SUM(Y18:Y20)</f>
        <v>475237.68222133163</v>
      </c>
      <c r="Z21" s="523">
        <f>SUM(Z18:Z20)</f>
        <v>479990.05904354498</v>
      </c>
      <c r="AA21" s="523">
        <f>SUM(AA18:AA20)</f>
        <v>484789.95963398041</v>
      </c>
      <c r="AB21" s="523">
        <f>SUM(AB18:AB20)</f>
        <v>489637.8592303202</v>
      </c>
      <c r="AC21" s="523">
        <f>SUM(AC18:AC20)</f>
        <v>494534.23782262334</v>
      </c>
      <c r="AD21" s="523">
        <f>SUM(AD18:AD20)</f>
        <v>499479.58020084968</v>
      </c>
      <c r="AE21" s="523">
        <f>SUM(AE18:AE20)</f>
        <v>504474.37600285816</v>
      </c>
    </row>
  </sheetData>
  <mergeCells count="3">
    <mergeCell ref="B2:F2"/>
    <mergeCell ref="B4:F4"/>
    <mergeCell ref="B16:C1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936E-2965-4E82-986B-C687038F4C0B}">
  <dimension ref="B2:AF21"/>
  <sheetViews>
    <sheetView topLeftCell="C7" workbookViewId="0">
      <selection activeCell="G21" sqref="G21"/>
    </sheetView>
  </sheetViews>
  <sheetFormatPr defaultColWidth="11.44140625" defaultRowHeight="14.4" x14ac:dyDescent="0.3"/>
  <cols>
    <col min="1" max="1" width="3.77734375" customWidth="1"/>
    <col min="2" max="2" width="27.77734375" customWidth="1"/>
    <col min="3" max="3" width="18.21875" bestFit="1" customWidth="1"/>
    <col min="4" max="4" width="16.21875" customWidth="1"/>
    <col min="5" max="5" width="18.44140625" customWidth="1"/>
    <col min="6" max="6" width="16.21875" customWidth="1"/>
    <col min="7" max="7" width="13.21875" bestFit="1" customWidth="1"/>
    <col min="8" max="8" width="15.5546875" customWidth="1"/>
    <col min="9" max="9" width="17.77734375" customWidth="1"/>
    <col min="10" max="10" width="16.44140625" customWidth="1"/>
    <col min="11" max="11" width="17.77734375" customWidth="1"/>
    <col min="12" max="12" width="17.44140625" customWidth="1"/>
    <col min="13" max="13" width="15.21875" customWidth="1"/>
    <col min="14" max="14" width="15" customWidth="1"/>
    <col min="15" max="15" width="17.77734375" customWidth="1"/>
    <col min="16" max="16" width="18.44140625" customWidth="1"/>
    <col min="17" max="17" width="18.77734375" customWidth="1"/>
    <col min="18" max="18" width="16.21875" customWidth="1"/>
    <col min="19" max="19" width="17.21875" bestFit="1" customWidth="1"/>
    <col min="20" max="20" width="18.5546875" bestFit="1" customWidth="1"/>
    <col min="21" max="21" width="19.77734375" customWidth="1"/>
    <col min="22" max="36" width="16.21875" customWidth="1"/>
  </cols>
  <sheetData>
    <row r="2" spans="2:32" ht="17.399999999999999" x14ac:dyDescent="0.3">
      <c r="B2" s="552" t="s">
        <v>180</v>
      </c>
      <c r="C2" s="552"/>
      <c r="D2" s="552"/>
      <c r="E2" s="552"/>
      <c r="F2" s="552"/>
      <c r="G2" s="432"/>
      <c r="H2" s="432"/>
    </row>
    <row r="3" spans="2:32" ht="18" thickBot="1" x14ac:dyDescent="0.35">
      <c r="B3" s="410"/>
      <c r="C3" s="410"/>
      <c r="D3" s="410"/>
      <c r="E3" s="410"/>
      <c r="F3" s="410"/>
    </row>
    <row r="4" spans="2:32" s="1" customFormat="1" ht="18.600000000000001" customHeight="1" thickBot="1" x14ac:dyDescent="0.3">
      <c r="B4" s="553" t="s">
        <v>198</v>
      </c>
      <c r="C4" s="554"/>
      <c r="D4" s="554"/>
      <c r="E4" s="554"/>
      <c r="F4" s="555"/>
      <c r="G4" s="411"/>
      <c r="H4" s="411"/>
      <c r="I4" s="411"/>
      <c r="J4" s="2"/>
      <c r="K4" s="2"/>
      <c r="L4" s="2"/>
    </row>
    <row r="5" spans="2:32" s="1" customFormat="1" ht="21.75" customHeight="1" thickBot="1" x14ac:dyDescent="0.35">
      <c r="B5" s="395" t="s">
        <v>0</v>
      </c>
      <c r="C5" s="396" t="s">
        <v>128</v>
      </c>
      <c r="D5" s="395" t="s">
        <v>129</v>
      </c>
      <c r="E5" s="395" t="s">
        <v>181</v>
      </c>
      <c r="F5" s="412" t="s">
        <v>182</v>
      </c>
      <c r="H5" s="58"/>
      <c r="I5" s="62"/>
      <c r="J5" s="33"/>
      <c r="K5" s="2"/>
      <c r="L5" s="2"/>
    </row>
    <row r="6" spans="2:32" s="1" customFormat="1" ht="15" thickBot="1" x14ac:dyDescent="0.35">
      <c r="B6" s="437" t="s">
        <v>183</v>
      </c>
      <c r="C6" s="397">
        <v>0.7</v>
      </c>
      <c r="D6" s="398">
        <v>0.2</v>
      </c>
      <c r="E6" s="399">
        <v>0.1</v>
      </c>
      <c r="F6" s="436"/>
      <c r="H6" s="58"/>
      <c r="I6" s="62"/>
      <c r="J6" s="33"/>
      <c r="K6" s="2"/>
      <c r="L6" s="2"/>
    </row>
    <row r="7" spans="2:32" s="1" customFormat="1" x14ac:dyDescent="0.3">
      <c r="B7" s="433"/>
      <c r="C7" s="401"/>
      <c r="D7" s="402" t="s">
        <v>0</v>
      </c>
      <c r="E7" s="401"/>
      <c r="F7" s="434"/>
      <c r="H7" s="58"/>
      <c r="I7" s="62"/>
      <c r="J7" s="33"/>
      <c r="K7" s="2"/>
      <c r="L7" s="2"/>
    </row>
    <row r="8" spans="2:32" s="1" customFormat="1" x14ac:dyDescent="0.3">
      <c r="B8" s="400" t="s">
        <v>184</v>
      </c>
      <c r="C8" s="475">
        <f>50*20*30</f>
        <v>30000</v>
      </c>
      <c r="D8" s="476">
        <f>25*20*10</f>
        <v>5000</v>
      </c>
      <c r="E8" s="476">
        <f>(C8+D8)*E6</f>
        <v>3500</v>
      </c>
      <c r="F8" s="477">
        <f>SUM(C8:E8)</f>
        <v>38500</v>
      </c>
      <c r="H8" s="58"/>
      <c r="I8" s="62"/>
      <c r="J8" s="33"/>
      <c r="K8" s="2"/>
      <c r="L8" s="2"/>
    </row>
    <row r="9" spans="2:32" s="1" customFormat="1" ht="15.6" customHeight="1" x14ac:dyDescent="0.3">
      <c r="B9" s="435"/>
      <c r="C9" s="478"/>
      <c r="D9" s="479"/>
      <c r="E9" s="479"/>
      <c r="F9" s="480"/>
      <c r="H9" s="58"/>
      <c r="I9" s="62"/>
      <c r="J9" s="33"/>
      <c r="K9" s="2"/>
      <c r="L9" s="2"/>
    </row>
    <row r="10" spans="2:32" s="1" customFormat="1" ht="15" customHeight="1" x14ac:dyDescent="0.3">
      <c r="B10" s="403"/>
      <c r="C10" s="481"/>
      <c r="D10" s="479"/>
      <c r="E10" s="479"/>
      <c r="F10" s="480"/>
      <c r="H10" s="58"/>
      <c r="I10" s="59"/>
      <c r="J10" s="2"/>
      <c r="K10" s="2"/>
      <c r="L10" s="2"/>
    </row>
    <row r="11" spans="2:32" s="1" customFormat="1" ht="15" customHeight="1" thickBot="1" x14ac:dyDescent="0.35">
      <c r="B11" s="404" t="s">
        <v>185</v>
      </c>
      <c r="C11" s="482">
        <f>C8*12</f>
        <v>360000</v>
      </c>
      <c r="D11" s="482">
        <f>D8*12</f>
        <v>60000</v>
      </c>
      <c r="E11" s="482">
        <f>E8*12</f>
        <v>42000</v>
      </c>
      <c r="F11" s="483">
        <f>+E11+D11+C11</f>
        <v>462000</v>
      </c>
      <c r="H11" s="58"/>
      <c r="I11" s="59"/>
      <c r="J11" s="2"/>
      <c r="K11" s="2"/>
      <c r="L11" s="2"/>
    </row>
    <row r="12" spans="2:32" s="1" customFormat="1" x14ac:dyDescent="0.3">
      <c r="B12" s="268"/>
      <c r="C12" s="405"/>
      <c r="D12" s="406"/>
      <c r="E12" s="407" t="s">
        <v>0</v>
      </c>
      <c r="F12" s="407"/>
      <c r="G12" s="44"/>
      <c r="H12" s="44"/>
      <c r="I12" s="44"/>
      <c r="J12" s="44"/>
      <c r="K12" s="44"/>
      <c r="L12" s="44"/>
      <c r="M12" s="44"/>
      <c r="N12" s="49"/>
      <c r="O12" s="293"/>
      <c r="P12" s="51"/>
      <c r="Q12" s="45"/>
      <c r="R12" s="45"/>
      <c r="S12" s="45"/>
      <c r="T12" s="34"/>
      <c r="U12" s="31"/>
      <c r="V12" s="50"/>
      <c r="W12" s="2"/>
      <c r="X12" s="2"/>
      <c r="Y12" s="2"/>
    </row>
    <row r="15" spans="2:32" ht="15" customHeight="1" thickBot="1" x14ac:dyDescent="0.35"/>
    <row r="16" spans="2:32" s="11" customFormat="1" ht="30.75" customHeight="1" x14ac:dyDescent="0.3">
      <c r="B16" s="550" t="s">
        <v>186</v>
      </c>
      <c r="C16" s="551"/>
      <c r="D16" s="36">
        <v>1</v>
      </c>
      <c r="E16" s="36">
        <f>D16+1</f>
        <v>2</v>
      </c>
      <c r="F16" s="36">
        <f t="shared" ref="F16:AB16" si="0">E16+1</f>
        <v>3</v>
      </c>
      <c r="G16" s="36">
        <f t="shared" si="0"/>
        <v>4</v>
      </c>
      <c r="H16" s="36">
        <f t="shared" si="0"/>
        <v>5</v>
      </c>
      <c r="I16" s="36">
        <f t="shared" si="0"/>
        <v>6</v>
      </c>
      <c r="J16" s="36">
        <f t="shared" si="0"/>
        <v>7</v>
      </c>
      <c r="K16" s="36">
        <f>J16+1</f>
        <v>8</v>
      </c>
      <c r="L16" s="36">
        <f t="shared" si="0"/>
        <v>9</v>
      </c>
      <c r="M16" s="36">
        <f t="shared" si="0"/>
        <v>10</v>
      </c>
      <c r="N16" s="36">
        <f t="shared" si="0"/>
        <v>11</v>
      </c>
      <c r="O16" s="36">
        <f t="shared" si="0"/>
        <v>12</v>
      </c>
      <c r="P16" s="36">
        <f t="shared" si="0"/>
        <v>13</v>
      </c>
      <c r="Q16" s="36">
        <f t="shared" si="0"/>
        <v>14</v>
      </c>
      <c r="R16" s="36">
        <f t="shared" si="0"/>
        <v>15</v>
      </c>
      <c r="S16" s="36">
        <f>R16+1</f>
        <v>16</v>
      </c>
      <c r="T16" s="36">
        <f>S16+1</f>
        <v>17</v>
      </c>
      <c r="U16" s="36">
        <f t="shared" si="0"/>
        <v>18</v>
      </c>
      <c r="V16" s="36">
        <f t="shared" si="0"/>
        <v>19</v>
      </c>
      <c r="W16" s="37">
        <f t="shared" si="0"/>
        <v>20</v>
      </c>
      <c r="X16" s="37">
        <f t="shared" si="0"/>
        <v>21</v>
      </c>
      <c r="Y16" s="37">
        <f t="shared" si="0"/>
        <v>22</v>
      </c>
      <c r="Z16" s="37">
        <f t="shared" si="0"/>
        <v>23</v>
      </c>
      <c r="AA16" s="408">
        <f t="shared" si="0"/>
        <v>24</v>
      </c>
      <c r="AB16" s="409">
        <f t="shared" si="0"/>
        <v>25</v>
      </c>
      <c r="AC16" s="1"/>
      <c r="AD16" s="1"/>
      <c r="AE16" s="1"/>
      <c r="AF16" s="1"/>
    </row>
    <row r="17" spans="2:32" ht="30.75" customHeight="1" x14ac:dyDescent="0.3">
      <c r="B17" s="380" t="s">
        <v>132</v>
      </c>
      <c r="H17" s="441">
        <v>1</v>
      </c>
      <c r="I17" s="441">
        <v>1</v>
      </c>
      <c r="J17" s="441">
        <v>1</v>
      </c>
      <c r="K17" s="441">
        <v>1</v>
      </c>
      <c r="L17" s="441">
        <v>1</v>
      </c>
      <c r="M17" s="441">
        <v>1</v>
      </c>
      <c r="N17" s="441">
        <v>1</v>
      </c>
      <c r="O17" s="441">
        <v>1</v>
      </c>
      <c r="P17" s="441">
        <v>1</v>
      </c>
      <c r="Q17" s="441">
        <v>1</v>
      </c>
      <c r="R17" s="441">
        <v>1</v>
      </c>
      <c r="S17" s="441">
        <v>1</v>
      </c>
      <c r="T17" s="441">
        <v>1</v>
      </c>
      <c r="U17" s="441">
        <v>1</v>
      </c>
      <c r="V17" s="441">
        <v>1</v>
      </c>
      <c r="W17" s="441">
        <v>1</v>
      </c>
      <c r="X17" s="441">
        <v>1</v>
      </c>
      <c r="Y17" s="441">
        <v>1</v>
      </c>
      <c r="Z17" s="441">
        <v>1</v>
      </c>
      <c r="AA17" s="441">
        <v>1</v>
      </c>
      <c r="AB17" s="441">
        <v>1</v>
      </c>
      <c r="AC17" s="441">
        <v>1</v>
      </c>
      <c r="AD17" s="441">
        <v>1</v>
      </c>
      <c r="AE17" s="441">
        <v>1</v>
      </c>
      <c r="AF17" s="441">
        <v>1</v>
      </c>
    </row>
    <row r="18" spans="2:32" x14ac:dyDescent="0.3">
      <c r="B18" s="415" t="s">
        <v>187</v>
      </c>
      <c r="H18" s="522">
        <f>+C11*H17</f>
        <v>360000</v>
      </c>
      <c r="I18" s="522">
        <f>+$H$18*I17*(1+'SITE Model - INPUT PARAMETERS'!$C$29)^(E$16-1)</f>
        <v>363600</v>
      </c>
      <c r="J18" s="522">
        <f>+$H$18*J17*(1+'SITE Model - INPUT PARAMETERS'!$C$29)^(F$16-1)</f>
        <v>367236</v>
      </c>
      <c r="K18" s="522">
        <f>+$H$18*K17*(1+'SITE Model - INPUT PARAMETERS'!$C$29)^(G$16-1)</f>
        <v>370908.36</v>
      </c>
      <c r="L18" s="522">
        <f>+$H$18*L17*(1+'SITE Model - INPUT PARAMETERS'!$C$29)^(H$16-1)</f>
        <v>374617.4436</v>
      </c>
      <c r="M18" s="522">
        <f>+$H$18*M17*(1+'SITE Model - INPUT PARAMETERS'!$C$29)^(I$16-1)</f>
        <v>378363.618036</v>
      </c>
      <c r="N18" s="522">
        <f>+$H$18*N17*(1+'SITE Model - INPUT PARAMETERS'!$C$29)^(J$16-1)</f>
        <v>382147.25421636004</v>
      </c>
      <c r="O18" s="522">
        <f>+$H$18*O17*(1+'SITE Model - INPUT PARAMETERS'!$C$29)^(K$16-1)</f>
        <v>385968.72675852355</v>
      </c>
      <c r="P18" s="522">
        <f>+$H$18*P17*(1+'SITE Model - INPUT PARAMETERS'!$C$29)^(L$16-1)</f>
        <v>389828.41402610886</v>
      </c>
      <c r="Q18" s="522">
        <f>+$H$18*Q17*(1+'SITE Model - INPUT PARAMETERS'!$C$29)^(M$16-1)</f>
        <v>393726.69816636998</v>
      </c>
      <c r="R18" s="522">
        <f>+$H$18*R17*(1+'SITE Model - INPUT PARAMETERS'!$C$29)^(N$16-1)</f>
        <v>397663.96514803369</v>
      </c>
      <c r="S18" s="522">
        <f>+$H$18*S17*(1+'SITE Model - INPUT PARAMETERS'!$C$29)^(O$16-1)</f>
        <v>401640.60479951394</v>
      </c>
      <c r="T18" s="522">
        <f>+$H$18*T17*(1+'SITE Model - INPUT PARAMETERS'!$C$29)^(P$16-1)</f>
        <v>405657.01084750914</v>
      </c>
      <c r="U18" s="522">
        <f>+$H$18*U17*(1+'SITE Model - INPUT PARAMETERS'!$C$29)^(Q$16-1)</f>
        <v>409713.58095598425</v>
      </c>
      <c r="V18" s="522">
        <f>+$H$18*V17*(1+'SITE Model - INPUT PARAMETERS'!$C$29)^(R$16-1)</f>
        <v>413810.71676554414</v>
      </c>
      <c r="W18" s="522">
        <f>+$H$18*W17*(1+'SITE Model - INPUT PARAMETERS'!$C$29)^(S$16-1)</f>
        <v>417948.82393319946</v>
      </c>
      <c r="X18" s="522">
        <f>+$H$18*X17*(1+'SITE Model - INPUT PARAMETERS'!$C$29)^(T$16-1)</f>
        <v>422128.31217253156</v>
      </c>
      <c r="Y18" s="522">
        <f>+$H$18*Y17*(1+'SITE Model - INPUT PARAMETERS'!$C$29)^(U$16-1)</f>
        <v>426349.59529425693</v>
      </c>
      <c r="Z18" s="522">
        <f>+$H$18*Z17*(1+'SITE Model - INPUT PARAMETERS'!$C$29)^(V$16-1)</f>
        <v>430613.09124719951</v>
      </c>
      <c r="AA18" s="522">
        <f>+$H$18*AA17*(1+'SITE Model - INPUT PARAMETERS'!$C$29)^(W$16-1)</f>
        <v>434919.22215967136</v>
      </c>
      <c r="AB18" s="522">
        <f>+$H$18*AB17*(1+'SITE Model - INPUT PARAMETERS'!$C$29)^(X$16-1)</f>
        <v>439268.41438126814</v>
      </c>
      <c r="AC18" s="522">
        <f>+$H$18*AC17*(1+'SITE Model - INPUT PARAMETERS'!$C$29)^(Y$16-1)</f>
        <v>443661.09852508077</v>
      </c>
      <c r="AD18" s="522">
        <f>+$H$18*AD17*(1+'SITE Model - INPUT PARAMETERS'!$C$29)^(Z$16-1)</f>
        <v>448097.70951033168</v>
      </c>
      <c r="AE18" s="522">
        <f>+$H$18*AE17*(1+'SITE Model - INPUT PARAMETERS'!$C$29)^(AA$16-1)</f>
        <v>452578.68660543492</v>
      </c>
      <c r="AF18" s="522">
        <f>+$H$18*AF17*(1+'SITE Model - INPUT PARAMETERS'!$C$29)^(AB$16-1)</f>
        <v>457104.47347148939</v>
      </c>
    </row>
    <row r="19" spans="2:32" x14ac:dyDescent="0.3">
      <c r="B19" s="415" t="s">
        <v>129</v>
      </c>
      <c r="H19" s="522">
        <f>+D11*H17</f>
        <v>60000</v>
      </c>
      <c r="I19" s="522">
        <f>+$H$19*I17*(1+'SITE Model - INPUT PARAMETERS'!$C$29)^(E$16-1)</f>
        <v>60600</v>
      </c>
      <c r="J19" s="522">
        <f>+$H$19*J17*(1+'SITE Model - INPUT PARAMETERS'!$C$29)^(F$16-1)</f>
        <v>61206</v>
      </c>
      <c r="K19" s="522">
        <f>+$H$19*K17*(1+'SITE Model - INPUT PARAMETERS'!$C$29)^(G$16-1)</f>
        <v>61818.06</v>
      </c>
      <c r="L19" s="522">
        <f>+$H$19*L17*(1+'SITE Model - INPUT PARAMETERS'!$C$29)^(H$16-1)</f>
        <v>62436.240600000005</v>
      </c>
      <c r="M19" s="522">
        <f>+$H$19*M17*(1+'SITE Model - INPUT PARAMETERS'!$C$29)^(I$16-1)</f>
        <v>63060.603005999998</v>
      </c>
      <c r="N19" s="522">
        <f>+$H$19*N17*(1+'SITE Model - INPUT PARAMETERS'!$C$29)^(J$16-1)</f>
        <v>63691.209036060005</v>
      </c>
      <c r="O19" s="522">
        <f>+$H$19*O17*(1+'SITE Model - INPUT PARAMETERS'!$C$29)^(K$16-1)</f>
        <v>64328.121126420592</v>
      </c>
      <c r="P19" s="522">
        <f>+$H$19*P17*(1+'SITE Model - INPUT PARAMETERS'!$C$29)^(L$16-1)</f>
        <v>64971.402337684813</v>
      </c>
      <c r="Q19" s="522">
        <f>+$H$19*Q17*(1+'SITE Model - INPUT PARAMETERS'!$C$29)^(M$16-1)</f>
        <v>65621.116361061664</v>
      </c>
      <c r="R19" s="522">
        <f>+$H$19*R17*(1+'SITE Model - INPUT PARAMETERS'!$C$29)^(N$16-1)</f>
        <v>66277.327524672291</v>
      </c>
      <c r="S19" s="522">
        <f>+$H$19*S17*(1+'SITE Model - INPUT PARAMETERS'!$C$29)^(O$16-1)</f>
        <v>66940.10079991899</v>
      </c>
      <c r="T19" s="522">
        <f>+$H$19*T17*(1+'SITE Model - INPUT PARAMETERS'!$C$29)^(P$16-1)</f>
        <v>67609.50180791819</v>
      </c>
      <c r="U19" s="522">
        <f>+$H$19*U17*(1+'SITE Model - INPUT PARAMETERS'!$C$29)^(Q$16-1)</f>
        <v>68285.596825997374</v>
      </c>
      <c r="V19" s="522">
        <f>+$H$19*V17*(1+'SITE Model - INPUT PARAMETERS'!$C$29)^(R$16-1)</f>
        <v>68968.452794257348</v>
      </c>
      <c r="W19" s="522">
        <f>+$H$19*W17*(1+'SITE Model - INPUT PARAMETERS'!$C$29)^(S$16-1)</f>
        <v>69658.137322199909</v>
      </c>
      <c r="X19" s="522">
        <f>+$H$19*X17*(1+'SITE Model - INPUT PARAMETERS'!$C$29)^(T$16-1)</f>
        <v>70354.718695421921</v>
      </c>
      <c r="Y19" s="522">
        <f>+$H$19*Y17*(1+'SITE Model - INPUT PARAMETERS'!$C$29)^(U$16-1)</f>
        <v>71058.265882376145</v>
      </c>
      <c r="Z19" s="522">
        <f>+$H$19*Z17*(1+'SITE Model - INPUT PARAMETERS'!$C$29)^(V$16-1)</f>
        <v>71768.848541199914</v>
      </c>
      <c r="AA19" s="522">
        <f>+$H$19*AA17*(1+'SITE Model - INPUT PARAMETERS'!$C$29)^(W$16-1)</f>
        <v>72486.537026611899</v>
      </c>
      <c r="AB19" s="522">
        <f>+$H$19*AB17*(1+'SITE Model - INPUT PARAMETERS'!$C$29)^(X$16-1)</f>
        <v>73211.402396878024</v>
      </c>
      <c r="AC19" s="522">
        <f>+$H$19*AC17*(1+'SITE Model - INPUT PARAMETERS'!$C$29)^(Y$16-1)</f>
        <v>73943.51642084679</v>
      </c>
      <c r="AD19" s="522">
        <f>+$H$19*AD17*(1+'SITE Model - INPUT PARAMETERS'!$C$29)^(Z$16-1)</f>
        <v>74682.951585055285</v>
      </c>
      <c r="AE19" s="522">
        <f>+$H$19*AE17*(1+'SITE Model - INPUT PARAMETERS'!$C$29)^(AA$16-1)</f>
        <v>75429.78110090582</v>
      </c>
      <c r="AF19" s="522">
        <f>+$H$19*AF17*(1+'SITE Model - INPUT PARAMETERS'!$C$29)^(AB$16-1)</f>
        <v>76184.078911914898</v>
      </c>
    </row>
    <row r="20" spans="2:32" ht="15" thickBot="1" x14ac:dyDescent="0.35">
      <c r="B20" s="415" t="s">
        <v>130</v>
      </c>
      <c r="H20" s="522">
        <f>+E11*H17</f>
        <v>42000</v>
      </c>
      <c r="I20" s="522">
        <f>+$H$20*I17*(1+'SITE Model - INPUT PARAMETERS'!$C$29)^(E$16-1)</f>
        <v>42420</v>
      </c>
      <c r="J20" s="522">
        <f>+$H$20*J17*(1+'SITE Model - INPUT PARAMETERS'!$C$29)^(F$16-1)</f>
        <v>42844.2</v>
      </c>
      <c r="K20" s="522">
        <f>+$H$20*K17*(1+'SITE Model - INPUT PARAMETERS'!$C$29)^(G$16-1)</f>
        <v>43272.642</v>
      </c>
      <c r="L20" s="522">
        <f>+$H$20*L17*(1+'SITE Model - INPUT PARAMETERS'!$C$29)^(H$16-1)</f>
        <v>43705.368419999999</v>
      </c>
      <c r="M20" s="522">
        <f>+$H$20*M17*(1+'SITE Model - INPUT PARAMETERS'!$C$29)^(I$16-1)</f>
        <v>44142.422104199999</v>
      </c>
      <c r="N20" s="522">
        <f>+$H$20*N17*(1+'SITE Model - INPUT PARAMETERS'!$C$29)^(J$16-1)</f>
        <v>44583.846325242004</v>
      </c>
      <c r="O20" s="522">
        <f>+$H$20*O17*(1+'SITE Model - INPUT PARAMETERS'!$C$29)^(K$16-1)</f>
        <v>45029.684788494415</v>
      </c>
      <c r="P20" s="522">
        <f>+$H$20*P17*(1+'SITE Model - INPUT PARAMETERS'!$C$29)^(L$16-1)</f>
        <v>45479.981636379373</v>
      </c>
      <c r="Q20" s="522">
        <f>+$H$20*Q17*(1+'SITE Model - INPUT PARAMETERS'!$C$29)^(M$16-1)</f>
        <v>45934.781452743169</v>
      </c>
      <c r="R20" s="522">
        <f>+$H$20*R17*(1+'SITE Model - INPUT PARAMETERS'!$C$29)^(N$16-1)</f>
        <v>46394.129267270597</v>
      </c>
      <c r="S20" s="522">
        <f>+$H$20*S17*(1+'SITE Model - INPUT PARAMETERS'!$C$29)^(O$16-1)</f>
        <v>46858.070559943299</v>
      </c>
      <c r="T20" s="522">
        <f>+$H$20*T17*(1+'SITE Model - INPUT PARAMETERS'!$C$29)^(P$16-1)</f>
        <v>47326.651265542729</v>
      </c>
      <c r="U20" s="522">
        <f>+$H$20*U17*(1+'SITE Model - INPUT PARAMETERS'!$C$29)^(Q$16-1)</f>
        <v>47799.917778198156</v>
      </c>
      <c r="V20" s="522">
        <f>+$H$20*V17*(1+'SITE Model - INPUT PARAMETERS'!$C$29)^(R$16-1)</f>
        <v>48277.916955980145</v>
      </c>
      <c r="W20" s="522">
        <f>+$H$20*W17*(1+'SITE Model - INPUT PARAMETERS'!$C$29)^(S$16-1)</f>
        <v>48760.696125539936</v>
      </c>
      <c r="X20" s="522">
        <f>+$H$20*X17*(1+'SITE Model - INPUT PARAMETERS'!$C$29)^(T$16-1)</f>
        <v>49248.303086795349</v>
      </c>
      <c r="Y20" s="522">
        <f>+$H$20*Y17*(1+'SITE Model - INPUT PARAMETERS'!$C$29)^(U$16-1)</f>
        <v>49740.786117663309</v>
      </c>
      <c r="Z20" s="522">
        <f>+$H$20*Z17*(1+'SITE Model - INPUT PARAMETERS'!$C$29)^(V$16-1)</f>
        <v>50238.19397883994</v>
      </c>
      <c r="AA20" s="522">
        <f>+$H$20*AA17*(1+'SITE Model - INPUT PARAMETERS'!$C$29)^(W$16-1)</f>
        <v>50740.575918628325</v>
      </c>
      <c r="AB20" s="522">
        <f>+$H$20*AB17*(1+'SITE Model - INPUT PARAMETERS'!$C$29)^(X$16-1)</f>
        <v>51247.981677814612</v>
      </c>
      <c r="AC20" s="522">
        <f>+$H$20*AC17*(1+'SITE Model - INPUT PARAMETERS'!$C$29)^(Y$16-1)</f>
        <v>51760.461494592753</v>
      </c>
      <c r="AD20" s="522">
        <f>+$H$20*AD17*(1+'SITE Model - INPUT PARAMETERS'!$C$29)^(Z$16-1)</f>
        <v>52278.066109538697</v>
      </c>
      <c r="AE20" s="522">
        <f>+$H$20*AE17*(1+'SITE Model - INPUT PARAMETERS'!$C$29)^(AA$16-1)</f>
        <v>52800.846770634074</v>
      </c>
      <c r="AF20" s="522">
        <f>+$H$20*AF17*(1+'SITE Model - INPUT PARAMETERS'!$C$29)^(AB$16-1)</f>
        <v>53328.855238340431</v>
      </c>
    </row>
    <row r="21" spans="2:32" ht="28.05" customHeight="1" thickBot="1" x14ac:dyDescent="0.35">
      <c r="B21" s="430" t="s">
        <v>188</v>
      </c>
      <c r="C21" s="431"/>
      <c r="D21" s="521"/>
      <c r="E21" s="521"/>
      <c r="F21" s="521"/>
      <c r="G21" s="521"/>
      <c r="H21" s="523">
        <f>SUM(H18:H20)</f>
        <v>462000</v>
      </c>
      <c r="I21" s="523">
        <f t="shared" ref="I21:AF21" si="1">SUM(I18:I20)</f>
        <v>466620</v>
      </c>
      <c r="J21" s="523">
        <f t="shared" si="1"/>
        <v>471286.2</v>
      </c>
      <c r="K21" s="523">
        <f t="shared" si="1"/>
        <v>475999.06199999998</v>
      </c>
      <c r="L21" s="523">
        <f t="shared" si="1"/>
        <v>480759.05262000003</v>
      </c>
      <c r="M21" s="523">
        <f t="shared" si="1"/>
        <v>485566.64314619999</v>
      </c>
      <c r="N21" s="523">
        <f t="shared" si="1"/>
        <v>490422.30957766209</v>
      </c>
      <c r="O21" s="523">
        <f t="shared" si="1"/>
        <v>495326.5326734386</v>
      </c>
      <c r="P21" s="523">
        <f t="shared" si="1"/>
        <v>500279.79800017306</v>
      </c>
      <c r="Q21" s="523">
        <f t="shared" si="1"/>
        <v>505282.59598017478</v>
      </c>
      <c r="R21" s="523">
        <f t="shared" si="1"/>
        <v>510335.42193997657</v>
      </c>
      <c r="S21" s="523">
        <f t="shared" si="1"/>
        <v>515438.77615937626</v>
      </c>
      <c r="T21" s="523">
        <f t="shared" si="1"/>
        <v>520593.16392097005</v>
      </c>
      <c r="U21" s="523">
        <f t="shared" si="1"/>
        <v>525799.09556017979</v>
      </c>
      <c r="V21" s="523">
        <f t="shared" si="1"/>
        <v>531057.08651578159</v>
      </c>
      <c r="W21" s="523">
        <f t="shared" si="1"/>
        <v>536367.65738093934</v>
      </c>
      <c r="X21" s="523">
        <f t="shared" si="1"/>
        <v>541731.33395474881</v>
      </c>
      <c r="Y21" s="523">
        <f t="shared" si="1"/>
        <v>547148.6472942963</v>
      </c>
      <c r="Z21" s="523">
        <f t="shared" si="1"/>
        <v>552620.1337672394</v>
      </c>
      <c r="AA21" s="523">
        <f t="shared" si="1"/>
        <v>558146.33510491159</v>
      </c>
      <c r="AB21" s="523">
        <f t="shared" si="1"/>
        <v>563727.79845596082</v>
      </c>
      <c r="AC21" s="523">
        <f t="shared" si="1"/>
        <v>569365.07644052035</v>
      </c>
      <c r="AD21" s="523">
        <f t="shared" si="1"/>
        <v>575058.72720492561</v>
      </c>
      <c r="AE21" s="523">
        <f t="shared" si="1"/>
        <v>580809.31447697477</v>
      </c>
      <c r="AF21" s="524">
        <f t="shared" si="1"/>
        <v>586617.40762174467</v>
      </c>
    </row>
  </sheetData>
  <mergeCells count="3">
    <mergeCell ref="B2:F2"/>
    <mergeCell ref="B4:F4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19</vt:i4>
      </vt:variant>
      <vt:variant>
        <vt:lpstr>Intervalli denominati</vt:lpstr>
      </vt:variant>
      <vt:variant>
        <vt:i4>1</vt:i4>
      </vt:variant>
    </vt:vector>
  </HeadingPairs>
  <TitlesOfParts>
    <vt:vector size="20" baseType="lpstr">
      <vt:lpstr>BoP SUMMARY</vt:lpstr>
      <vt:lpstr>CF SITES</vt:lpstr>
      <vt:lpstr>SITE Model - INPUT PARAMETERS</vt:lpstr>
      <vt:lpstr>SITES Conld. P&amp;L</vt:lpstr>
      <vt:lpstr>Site Geneva revenues A</vt:lpstr>
      <vt:lpstr>Site Geneva revenues B</vt:lpstr>
      <vt:lpstr>Site Geneva revenues C</vt:lpstr>
      <vt:lpstr>Site Zurich revenues A </vt:lpstr>
      <vt:lpstr>Site Zurch revenues B </vt:lpstr>
      <vt:lpstr>Site Zurich revenues C </vt:lpstr>
      <vt:lpstr>Site Loc 3 revenues A  </vt:lpstr>
      <vt:lpstr>Site Loc 3 revenues B  </vt:lpstr>
      <vt:lpstr>Site Loc 3 revenues C </vt:lpstr>
      <vt:lpstr>Site Loc 4 revenues A   </vt:lpstr>
      <vt:lpstr>Site Loc 4 revenues B   </vt:lpstr>
      <vt:lpstr>Site Loc 4 revenues C  </vt:lpstr>
      <vt:lpstr>Site Loc 5 revenues A    </vt:lpstr>
      <vt:lpstr>Site Loc 5 revenues B    </vt:lpstr>
      <vt:lpstr>Site Loc  revenues C   </vt:lpstr>
      <vt:lpstr>'SITES Conld. P&amp;L'!Area_stampa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install</dc:creator>
  <cp:keywords/>
  <dc:description/>
  <cp:lastModifiedBy>AlfaHouse</cp:lastModifiedBy>
  <cp:revision/>
  <dcterms:created xsi:type="dcterms:W3CDTF">2008-10-16T14:30:01Z</dcterms:created>
  <dcterms:modified xsi:type="dcterms:W3CDTF">2025-10-04T14:56:47Z</dcterms:modified>
  <cp:category/>
  <cp:contentStatus/>
</cp:coreProperties>
</file>