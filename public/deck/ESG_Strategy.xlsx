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4A3A80741F94A59/Documents/"/>
    </mc:Choice>
  </mc:AlternateContent>
  <xr:revisionPtr revIDLastSave="0" documentId="8_{23311E99-1095-4450-AA07-404FFD9A80B2}" xr6:coauthVersionLast="47" xr6:coauthVersionMax="47" xr10:uidLastSave="{00000000-0000-0000-0000-000000000000}"/>
  <bookViews>
    <workbookView xWindow="228" yWindow="2256" windowWidth="17280" windowHeight="8880" activeTab="3" xr2:uid="{00000000-000D-0000-FFFF-FFFF00000000}"/>
  </bookViews>
  <sheets>
    <sheet name="ESG Strategy" sheetId="1" r:id="rId1"/>
    <sheet name="Compliance Matrix" sheetId="2" r:id="rId2"/>
    <sheet name="Certification Roadmap" sheetId="3" r:id="rId3"/>
    <sheet name="Grant Tracker" sheetId="4" r:id="rId4"/>
    <sheet name="Grant Application Timeline" sheetId="5" r:id="rId5"/>
    <sheet name="Investor Grant 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4" l="1"/>
  <c r="L15" i="2"/>
  <c r="J15" i="2"/>
  <c r="L14" i="2"/>
  <c r="J14" i="2"/>
  <c r="L13" i="2"/>
  <c r="J13" i="2"/>
  <c r="L12" i="2"/>
  <c r="J12" i="2"/>
  <c r="L11" i="2"/>
  <c r="J11" i="2"/>
  <c r="L10" i="2"/>
  <c r="J10" i="2"/>
  <c r="L9" i="2"/>
  <c r="J9" i="2"/>
  <c r="L8" i="2"/>
  <c r="J8" i="2"/>
  <c r="L7" i="2"/>
  <c r="J7" i="2"/>
  <c r="L6" i="2"/>
  <c r="J6" i="2"/>
  <c r="L5" i="2"/>
  <c r="J5" i="2"/>
  <c r="L4" i="2"/>
  <c r="J4" i="2"/>
  <c r="L3" i="2"/>
  <c r="J3" i="2"/>
  <c r="L2" i="2"/>
  <c r="J2" i="2"/>
</calcChain>
</file>

<file path=xl/sharedStrings.xml><?xml version="1.0" encoding="utf-8"?>
<sst xmlns="http://schemas.openxmlformats.org/spreadsheetml/2006/main" count="286" uniqueCount="250">
  <si>
    <t>Pillar</t>
  </si>
  <si>
    <t>Strategic Objective</t>
  </si>
  <si>
    <t>Description</t>
  </si>
  <si>
    <t>Planned Outcome</t>
  </si>
  <si>
    <t>Environment</t>
  </si>
  <si>
    <t>Carbon-neutral operations</t>
  </si>
  <si>
    <t>Electric fleet, filtration, energy efficiency</t>
  </si>
  <si>
    <t>Lower costs &amp; ESG eligibility</t>
  </si>
  <si>
    <t>Sustainable sourcing</t>
  </si>
  <si>
    <t>Traceable Italian supply chain</t>
  </si>
  <si>
    <t>Brand premium &amp; stability</t>
  </si>
  <si>
    <t>Waste reduction</t>
  </si>
  <si>
    <t>Compostable packaging, recycling</t>
  </si>
  <si>
    <t>Lower waste fees</t>
  </si>
  <si>
    <t>Social</t>
  </si>
  <si>
    <t>Fair labor conditions</t>
  </si>
  <si>
    <t>Swiss wages, training, DEI</t>
  </si>
  <si>
    <t>Higher retention</t>
  </si>
  <si>
    <t>Supplier ethics</t>
  </si>
  <si>
    <t>Code of Conduct, audits</t>
  </si>
  <si>
    <t>Supply chain security</t>
  </si>
  <si>
    <t>Governance</t>
  </si>
  <si>
    <t>Transparency</t>
  </si>
  <si>
    <t>ESG committee, reporting</t>
  </si>
  <si>
    <t>Investor confidence</t>
  </si>
  <si>
    <t>Responsible management</t>
  </si>
  <si>
    <t>Anti-corruption, whistleblower</t>
  </si>
  <si>
    <t>Compliance &amp; loan access</t>
  </si>
  <si>
    <t>ESG Area</t>
  </si>
  <si>
    <t>Requirement</t>
  </si>
  <si>
    <t>Monti Action</t>
  </si>
  <si>
    <t>System/Process</t>
  </si>
  <si>
    <t>KPI</t>
  </si>
  <si>
    <t>Timeline</t>
  </si>
  <si>
    <t>Owner</t>
  </si>
  <si>
    <t>KPI Numerator</t>
  </si>
  <si>
    <t>KPI Denominator</t>
  </si>
  <si>
    <t>KPI Result</t>
  </si>
  <si>
    <t>Target KPI</t>
  </si>
  <si>
    <t>% of Target Achieved</t>
  </si>
  <si>
    <t>Carbon Footprint</t>
  </si>
  <si>
    <t>Reduce emissions</t>
  </si>
  <si>
    <t>Electric vans</t>
  </si>
  <si>
    <t>Zero-combustion fleet</t>
  </si>
  <si>
    <t>CO₂/weekly deliveries</t>
  </si>
  <si>
    <t>Pre-opening</t>
  </si>
  <si>
    <t>Operations Director</t>
  </si>
  <si>
    <t>Total CO₂ (kg/week)</t>
  </si>
  <si>
    <t>Number of deliveries/week</t>
  </si>
  <si>
    <t>Grill Emissions</t>
  </si>
  <si>
    <t>ESG filtration</t>
  </si>
  <si>
    <t>ESP + carbon filters</t>
  </si>
  <si>
    <t>FSC-certified charcoal</t>
  </si>
  <si>
    <t>PM2.5 levels</t>
  </si>
  <si>
    <t>Executive Chef</t>
  </si>
  <si>
    <t>Measured PM2.5 (µg/m³)</t>
  </si>
  <si>
    <t>Energy Efficiency</t>
  </si>
  <si>
    <t>Reduce energy</t>
  </si>
  <si>
    <t>LED, A+++ refrigeration</t>
  </si>
  <si>
    <t>EMS tracking</t>
  </si>
  <si>
    <t>kWh/m²</t>
  </si>
  <si>
    <t>GM</t>
  </si>
  <si>
    <t>Total energy (kWh/month)</t>
  </si>
  <si>
    <t>Area (m²)</t>
  </si>
  <si>
    <t>Water Management</t>
  </si>
  <si>
    <t>Reduce waste</t>
  </si>
  <si>
    <t>Low-flow &amp; efficient systems</t>
  </si>
  <si>
    <t>Quarterly audits</t>
  </si>
  <si>
    <t>Liters/cover</t>
  </si>
  <si>
    <t>Q1</t>
  </si>
  <si>
    <t>Total water (liters)</t>
  </si>
  <si>
    <t>Number of covers</t>
  </si>
  <si>
    <t>Waste &amp; Recycling</t>
  </si>
  <si>
    <t>Swiss ESG standards</t>
  </si>
  <si>
    <t>4-stream sorting</t>
  </si>
  <si>
    <t>Compost pickup</t>
  </si>
  <si>
    <t>% diverted</t>
  </si>
  <si>
    <t>Opening</t>
  </si>
  <si>
    <t>BOH Manager</t>
  </si>
  <si>
    <t>Total waste (kg)</t>
  </si>
  <si>
    <t>Diverted waste (kg)</t>
  </si>
  <si>
    <t>Packaging</t>
  </si>
  <si>
    <t>Zero plastic</t>
  </si>
  <si>
    <t>Compostable line</t>
  </si>
  <si>
    <t>Vendor certifications</t>
  </si>
  <si>
    <t>% compostable</t>
  </si>
  <si>
    <t>Purchasing</t>
  </si>
  <si>
    <t>Total packaging units</t>
  </si>
  <si>
    <t>Compostable units</t>
  </si>
  <si>
    <t>Sourcing</t>
  </si>
  <si>
    <t>Traceability</t>
  </si>
  <si>
    <t>Weekly farm pickups</t>
  </si>
  <si>
    <t>POS traceability</t>
  </si>
  <si>
    <t>% traceable</t>
  </si>
  <si>
    <t>Supply Chain Lead</t>
  </si>
  <si>
    <t>Total SKUs</t>
  </si>
  <si>
    <t>Traceable SKUs</t>
  </si>
  <si>
    <t>Organic Inputs</t>
  </si>
  <si>
    <t>Biodynamic sources</t>
  </si>
  <si>
    <t>Organic &amp; biodynamic produce</t>
  </si>
  <si>
    <t>Supplier audits</t>
  </si>
  <si>
    <t>% organic</t>
  </si>
  <si>
    <t>Year 1</t>
  </si>
  <si>
    <t>Chef &amp; David</t>
  </si>
  <si>
    <t>Total ingredients</t>
  </si>
  <si>
    <t>Organic ingredients</t>
  </si>
  <si>
    <t>Labor</t>
  </si>
  <si>
    <t>Fair wages</t>
  </si>
  <si>
    <t>Above minimum; no unpaid trials</t>
  </si>
  <si>
    <t>Labor handbook</t>
  </si>
  <si>
    <t>Turnover rate</t>
  </si>
  <si>
    <t>Ongoing</t>
  </si>
  <si>
    <t>Number of leavers (year)</t>
  </si>
  <si>
    <t>Average headcount (year)</t>
  </si>
  <si>
    <t>Training</t>
  </si>
  <si>
    <t>Paid development</t>
  </si>
  <si>
    <t>Training programs</t>
  </si>
  <si>
    <t>Training logs</t>
  </si>
  <si>
    <t>Hours/employee</t>
  </si>
  <si>
    <t>Total training hours</t>
  </si>
  <si>
    <t>Number of employees</t>
  </si>
  <si>
    <t>DEI</t>
  </si>
  <si>
    <t>Inclusive hiring</t>
  </si>
  <si>
    <t>Anti-bias &amp; multilingual training</t>
  </si>
  <si>
    <t>DEI review</t>
  </si>
  <si>
    <t>Compliance</t>
  </si>
  <si>
    <t>HR Advisor</t>
  </si>
  <si>
    <t>DEI score (0–100)</t>
  </si>
  <si>
    <t>Supplier Ethics</t>
  </si>
  <si>
    <t>ESG compliance</t>
  </si>
  <si>
    <t>Supplier Code of Conduct</t>
  </si>
  <si>
    <t>Audits</t>
  </si>
  <si>
    <t>100% compliance</t>
  </si>
  <si>
    <t>David</t>
  </si>
  <si>
    <t>Total suppliers</t>
  </si>
  <si>
    <t>Compliant suppliers</t>
  </si>
  <si>
    <t>Annual audit</t>
  </si>
  <si>
    <t>External auditor</t>
  </si>
  <si>
    <t>GRI reporting</t>
  </si>
  <si>
    <t>Audit result</t>
  </si>
  <si>
    <t>ESG Committee</t>
  </si>
  <si>
    <t>Audit score (0–100)</t>
  </si>
  <si>
    <t>Whistleblower</t>
  </si>
  <si>
    <t>Required governance</t>
  </si>
  <si>
    <t>Hotline &amp; policy</t>
  </si>
  <si>
    <t>Quarterly review</t>
  </si>
  <si>
    <t>Resolution time</t>
  </si>
  <si>
    <t>ESG Advisor</t>
  </si>
  <si>
    <t>Total resolution days</t>
  </si>
  <si>
    <t>Number of cases</t>
  </si>
  <si>
    <t>Certification</t>
  </si>
  <si>
    <t>Requirement Summary</t>
  </si>
  <si>
    <t>Monti Preparation</t>
  </si>
  <si>
    <t>Target Date</t>
  </si>
  <si>
    <t>ISO 14001</t>
  </si>
  <si>
    <t>Environmental management</t>
  </si>
  <si>
    <t>EMS + audits</t>
  </si>
  <si>
    <t>Month 6</t>
  </si>
  <si>
    <t>ISO 22000</t>
  </si>
  <si>
    <t>Food safety</t>
  </si>
  <si>
    <t>HACCP + sourcing control</t>
  </si>
  <si>
    <t>Month 4</t>
  </si>
  <si>
    <t>B Corp</t>
  </si>
  <si>
    <t>Governance + social + environment</t>
  </si>
  <si>
    <t>Traceability, labor, governance</t>
  </si>
  <si>
    <t>Month 9</t>
  </si>
  <si>
    <t>ESG Audit</t>
  </si>
  <si>
    <t>GRI-aligned reporting</t>
  </si>
  <si>
    <t>Annual reporting</t>
  </si>
  <si>
    <t>Month 12</t>
  </si>
  <si>
    <t>Swiss Energy Grant</t>
  </si>
  <si>
    <t>Energy upgrades</t>
  </si>
  <si>
    <t>Smart HVAC + hood recapture</t>
  </si>
  <si>
    <t>Month 3</t>
  </si>
  <si>
    <t>Carbon Neutral Ops</t>
  </si>
  <si>
    <t>CO₂ offsetting</t>
  </si>
  <si>
    <t>Carbon accounting</t>
  </si>
  <si>
    <t>Year 2</t>
  </si>
  <si>
    <t>Grant Name</t>
  </si>
  <si>
    <t>Jurisdiction (CH/EU/IT)</t>
  </si>
  <si>
    <t>Grant Type (Subsidy/Loan/Tax Credit)</t>
  </si>
  <si>
    <t>ESG Area (E/S/G)</t>
  </si>
  <si>
    <t>Max Amount (CHF/EUR)</t>
  </si>
  <si>
    <t>Our Target Amount</t>
  </si>
  <si>
    <t>Match Required? (Y/N)</t>
  </si>
  <si>
    <t>Application Deadline</t>
  </si>
  <si>
    <t>Status (Planned/In Progress/Submitted/Approved/Denied)</t>
  </si>
  <si>
    <t>Key Eligibility Criteria</t>
  </si>
  <si>
    <t>Required Documents</t>
  </si>
  <si>
    <t>Responsible Person</t>
  </si>
  <si>
    <t>Next Action</t>
  </si>
  <si>
    <t>Next Action Due Date</t>
  </si>
  <si>
    <t>Notes</t>
  </si>
  <si>
    <t>Swiss Energy Efficiency Grant</t>
  </si>
  <si>
    <t>CH - Canton Geneva</t>
  </si>
  <si>
    <t>Subsidy</t>
  </si>
  <si>
    <t>E</t>
  </si>
  <si>
    <t>Support for high-efficiency HVAC, hood systems, LED, and insulation</t>
  </si>
  <si>
    <t>CHF 40,000–90,000</t>
  </si>
  <si>
    <t>CHF 90,000</t>
  </si>
  <si>
    <t>Y</t>
  </si>
  <si>
    <t>Planned</t>
  </si>
  <si>
    <t>Energy efficiency investments; SME status; location in Geneva</t>
  </si>
  <si>
    <t>Business plan, energy audit, equipment quotes</t>
  </si>
  <si>
    <t>William</t>
  </si>
  <si>
    <t>Confirm eligibility and program contact</t>
  </si>
  <si>
    <t>Electric Fleet / E-Mobility Subsidy</t>
  </si>
  <si>
    <t>CH / EU Cross-Border</t>
  </si>
  <si>
    <t>Subsidy/Tax Credit</t>
  </si>
  <si>
    <t>Subsidies for electric or hydrogen delivery vehicles and charging infrastructure</t>
  </si>
  <si>
    <t>CHF 50,000–70,000</t>
  </si>
  <si>
    <t>CHF 70,000</t>
  </si>
  <si>
    <t>Purchase or lease of qualified EVs; charging plan; ESG focus</t>
  </si>
  <si>
    <t>Vehicle quotes, financing plan, ESG policy</t>
  </si>
  <si>
    <t>Identify 2–3 EV models and cost structure</t>
  </si>
  <si>
    <t>EU Green Transition / Sustainable Food Systems Grant</t>
  </si>
  <si>
    <t>EU / IT</t>
  </si>
  <si>
    <t>Grant</t>
  </si>
  <si>
    <t>E/S</t>
  </si>
  <si>
    <t>Support for sustainable agriculture partnerships and short supply chains</t>
  </si>
  <si>
    <t>€250,000–750,000 (up to €2.5M w/ Eko Agro)</t>
  </si>
  <si>
    <t>€750,000</t>
  </si>
  <si>
    <t>Partnership with Italian farms; sustainable practices; traceability</t>
  </si>
  <si>
    <t>Farm contracts, sustainability report draft</t>
  </si>
  <si>
    <t>Salvatore</t>
  </si>
  <si>
    <t>Map eligible calls with Eko Agro advisors</t>
  </si>
  <si>
    <t>Total Potential Grant Value</t>
  </si>
  <si>
    <t>Opening Date</t>
  </si>
  <si>
    <t>Deadline</t>
  </si>
  <si>
    <t>Steps Required</t>
  </si>
  <si>
    <t>Responsible</t>
  </si>
  <si>
    <t>Status</t>
  </si>
  <si>
    <t>Energy audit → Equipment selection → Application submission</t>
  </si>
  <si>
    <t>Vehicle selection → Charging plan → Subsidy request</t>
  </si>
  <si>
    <t>Partner w/ Eko Agro → Write proposal → EU Portal Submission</t>
  </si>
  <si>
    <t>Grant Program</t>
  </si>
  <si>
    <t>Max Amount</t>
  </si>
  <si>
    <t>Strategic Benefit</t>
  </si>
  <si>
    <t>Impact on CapEx</t>
  </si>
  <si>
    <t>CHF 40–90k</t>
  </si>
  <si>
    <t>Supports HVAC, hood recapture, LED</t>
  </si>
  <si>
    <t>Cuts equipment CAPEX by ~15–25%</t>
  </si>
  <si>
    <t>Electric Fleet Subsidy</t>
  </si>
  <si>
    <t>CHF 50–70k</t>
  </si>
  <si>
    <t>Funds ESG electric fleet</t>
  </si>
  <si>
    <t>Cuts fleet CAPEX by ~30%</t>
  </si>
  <si>
    <t>EU Green Transition Grant</t>
  </si>
  <si>
    <t>€250–750k (up to €2.5M)</t>
  </si>
  <si>
    <t>Funds sustainable supply chain, traceability</t>
  </si>
  <si>
    <t>Supports large system integration &amp; scaling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</si>
</sst>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9</v>
      </c>
      <c r="D3" t="s">
        <v>10</v>
      </c>
    </row>
    <row r="4" spans="1:4" x14ac:dyDescent="0.3">
      <c r="A4" t="s">
        <v>4</v>
      </c>
      <c r="B4" t="s">
        <v>11</v>
      </c>
      <c r="C4" t="s">
        <v>12</v>
      </c>
      <c r="D4" t="s">
        <v>13</v>
      </c>
    </row>
    <row r="5" spans="1:4" x14ac:dyDescent="0.3">
      <c r="A5" t="s">
        <v>14</v>
      </c>
      <c r="B5" t="s">
        <v>15</v>
      </c>
      <c r="C5" t="s">
        <v>16</v>
      </c>
      <c r="D5" t="s">
        <v>17</v>
      </c>
    </row>
    <row r="6" spans="1:4" x14ac:dyDescent="0.3">
      <c r="A6" t="s">
        <v>14</v>
      </c>
      <c r="B6" t="s">
        <v>18</v>
      </c>
      <c r="C6" t="s">
        <v>19</v>
      </c>
      <c r="D6" t="s">
        <v>20</v>
      </c>
    </row>
    <row r="7" spans="1:4" x14ac:dyDescent="0.3">
      <c r="A7" t="s">
        <v>21</v>
      </c>
      <c r="B7" t="s">
        <v>22</v>
      </c>
      <c r="C7" t="s">
        <v>23</v>
      </c>
      <c r="D7" t="s">
        <v>24</v>
      </c>
    </row>
    <row r="8" spans="1:4" x14ac:dyDescent="0.3">
      <c r="A8" t="s">
        <v>21</v>
      </c>
      <c r="B8" t="s">
        <v>25</v>
      </c>
      <c r="C8" t="s">
        <v>26</v>
      </c>
      <c r="D8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workbookViewId="0"/>
  </sheetViews>
  <sheetFormatPr defaultRowHeight="14.4" x14ac:dyDescent="0.3"/>
  <sheetData>
    <row r="1" spans="1:12" x14ac:dyDescent="0.3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</row>
    <row r="2" spans="1:12" x14ac:dyDescent="0.3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e">
        <f>IF(I2&gt;0,H2/I2,0)</f>
        <v>#VALUE!</v>
      </c>
      <c r="L2">
        <f t="shared" ref="L2:L15" si="0">IF(K2&gt;0,J2/K2,0)</f>
        <v>0</v>
      </c>
    </row>
    <row r="3" spans="1:12" x14ac:dyDescent="0.3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45</v>
      </c>
      <c r="G3" t="s">
        <v>54</v>
      </c>
      <c r="H3" t="s">
        <v>55</v>
      </c>
      <c r="J3" t="str">
        <f>H3</f>
        <v>Measured PM2.5 (µg/m³)</v>
      </c>
      <c r="L3">
        <f t="shared" si="0"/>
        <v>0</v>
      </c>
    </row>
    <row r="4" spans="1:12" x14ac:dyDescent="0.3">
      <c r="A4" t="s">
        <v>56</v>
      </c>
      <c r="B4" t="s">
        <v>57</v>
      </c>
      <c r="C4" t="s">
        <v>58</v>
      </c>
      <c r="D4" t="s">
        <v>59</v>
      </c>
      <c r="E4" t="s">
        <v>60</v>
      </c>
      <c r="F4" t="s">
        <v>45</v>
      </c>
      <c r="G4" t="s">
        <v>61</v>
      </c>
      <c r="H4" t="s">
        <v>62</v>
      </c>
      <c r="I4" t="s">
        <v>63</v>
      </c>
      <c r="J4" t="e">
        <f>IF(I4&gt;0,H4/I4,0)</f>
        <v>#VALUE!</v>
      </c>
      <c r="L4">
        <f t="shared" si="0"/>
        <v>0</v>
      </c>
    </row>
    <row r="5" spans="1:12" x14ac:dyDescent="0.3">
      <c r="A5" t="s">
        <v>64</v>
      </c>
      <c r="B5" t="s">
        <v>65</v>
      </c>
      <c r="C5" t="s">
        <v>66</v>
      </c>
      <c r="D5" t="s">
        <v>67</v>
      </c>
      <c r="E5" t="s">
        <v>68</v>
      </c>
      <c r="F5" t="s">
        <v>69</v>
      </c>
      <c r="G5" t="s">
        <v>61</v>
      </c>
      <c r="H5" t="s">
        <v>70</v>
      </c>
      <c r="I5" t="s">
        <v>71</v>
      </c>
      <c r="J5" t="e">
        <f>IF(I5&gt;0,H5/I5,0)</f>
        <v>#VALUE!</v>
      </c>
      <c r="L5">
        <f t="shared" si="0"/>
        <v>0</v>
      </c>
    </row>
    <row r="6" spans="1:12" x14ac:dyDescent="0.3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79</v>
      </c>
      <c r="I6" t="s">
        <v>80</v>
      </c>
      <c r="J6" t="e">
        <f>IF(H6&gt;0,I6/H6,0)</f>
        <v>#VALUE!</v>
      </c>
      <c r="L6">
        <f t="shared" si="0"/>
        <v>0</v>
      </c>
    </row>
    <row r="7" spans="1:12" x14ac:dyDescent="0.3">
      <c r="A7" t="s">
        <v>81</v>
      </c>
      <c r="B7" t="s">
        <v>82</v>
      </c>
      <c r="C7" t="s">
        <v>83</v>
      </c>
      <c r="D7" t="s">
        <v>84</v>
      </c>
      <c r="E7" t="s">
        <v>85</v>
      </c>
      <c r="F7" t="s">
        <v>45</v>
      </c>
      <c r="G7" t="s">
        <v>86</v>
      </c>
      <c r="H7" t="s">
        <v>87</v>
      </c>
      <c r="I7" t="s">
        <v>88</v>
      </c>
      <c r="J7" t="e">
        <f>IF(H7&gt;0,I7/H7,0)</f>
        <v>#VALUE!</v>
      </c>
      <c r="L7">
        <f t="shared" si="0"/>
        <v>0</v>
      </c>
    </row>
    <row r="8" spans="1:12" x14ac:dyDescent="0.3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77</v>
      </c>
      <c r="G8" t="s">
        <v>94</v>
      </c>
      <c r="H8" t="s">
        <v>95</v>
      </c>
      <c r="I8" t="s">
        <v>96</v>
      </c>
      <c r="J8" t="e">
        <f>IF(H8&gt;0,I8/H8,0)</f>
        <v>#VALUE!</v>
      </c>
      <c r="L8">
        <f t="shared" si="0"/>
        <v>0</v>
      </c>
    </row>
    <row r="9" spans="1:12" x14ac:dyDescent="0.3">
      <c r="A9" t="s">
        <v>97</v>
      </c>
      <c r="B9" t="s">
        <v>98</v>
      </c>
      <c r="C9" t="s">
        <v>99</v>
      </c>
      <c r="D9" t="s">
        <v>100</v>
      </c>
      <c r="E9" t="s">
        <v>101</v>
      </c>
      <c r="F9" t="s">
        <v>102</v>
      </c>
      <c r="G9" t="s">
        <v>103</v>
      </c>
      <c r="H9" t="s">
        <v>104</v>
      </c>
      <c r="I9" t="s">
        <v>105</v>
      </c>
      <c r="J9" t="e">
        <f>IF(H9&gt;0,I9/H9,0)</f>
        <v>#VALUE!</v>
      </c>
      <c r="L9">
        <f t="shared" si="0"/>
        <v>0</v>
      </c>
    </row>
    <row r="10" spans="1:12" x14ac:dyDescent="0.3">
      <c r="A10" t="s">
        <v>106</v>
      </c>
      <c r="B10" t="s">
        <v>107</v>
      </c>
      <c r="C10" t="s">
        <v>108</v>
      </c>
      <c r="D10" t="s">
        <v>109</v>
      </c>
      <c r="E10" t="s">
        <v>110</v>
      </c>
      <c r="F10" t="s">
        <v>111</v>
      </c>
      <c r="G10" t="s">
        <v>61</v>
      </c>
      <c r="H10" t="s">
        <v>112</v>
      </c>
      <c r="I10" t="s">
        <v>113</v>
      </c>
      <c r="J10" t="e">
        <f>IF(I10&gt;0,H10/I10,0)</f>
        <v>#VALUE!</v>
      </c>
      <c r="L10">
        <f t="shared" si="0"/>
        <v>0</v>
      </c>
    </row>
    <row r="11" spans="1:12" x14ac:dyDescent="0.3">
      <c r="A11" t="s">
        <v>114</v>
      </c>
      <c r="B11" t="s">
        <v>115</v>
      </c>
      <c r="C11" t="s">
        <v>116</v>
      </c>
      <c r="D11" t="s">
        <v>117</v>
      </c>
      <c r="E11" t="s">
        <v>118</v>
      </c>
      <c r="F11" t="s">
        <v>111</v>
      </c>
      <c r="G11" t="s">
        <v>61</v>
      </c>
      <c r="H11" t="s">
        <v>119</v>
      </c>
      <c r="I11" t="s">
        <v>120</v>
      </c>
      <c r="J11" t="e">
        <f>IF(I11&gt;0,H11/I11,0)</f>
        <v>#VALUE!</v>
      </c>
      <c r="L11">
        <f t="shared" si="0"/>
        <v>0</v>
      </c>
    </row>
    <row r="12" spans="1:12" x14ac:dyDescent="0.3">
      <c r="A12" t="s">
        <v>121</v>
      </c>
      <c r="B12" t="s">
        <v>122</v>
      </c>
      <c r="C12" t="s">
        <v>123</v>
      </c>
      <c r="D12" t="s">
        <v>124</v>
      </c>
      <c r="E12" t="s">
        <v>125</v>
      </c>
      <c r="F12" t="s">
        <v>102</v>
      </c>
      <c r="G12" t="s">
        <v>126</v>
      </c>
      <c r="H12" t="s">
        <v>127</v>
      </c>
      <c r="J12" t="str">
        <f>H12</f>
        <v>DEI score (0–100)</v>
      </c>
      <c r="L12">
        <f t="shared" si="0"/>
        <v>0</v>
      </c>
    </row>
    <row r="13" spans="1:12" x14ac:dyDescent="0.3">
      <c r="A13" t="s">
        <v>128</v>
      </c>
      <c r="B13" t="s">
        <v>129</v>
      </c>
      <c r="C13" t="s">
        <v>130</v>
      </c>
      <c r="D13" t="s">
        <v>131</v>
      </c>
      <c r="E13" t="s">
        <v>132</v>
      </c>
      <c r="F13" t="s">
        <v>77</v>
      </c>
      <c r="G13" t="s">
        <v>133</v>
      </c>
      <c r="H13" t="s">
        <v>134</v>
      </c>
      <c r="I13" t="s">
        <v>135</v>
      </c>
      <c r="J13" t="e">
        <f>IF(H13&gt;0,I13/H13,0)</f>
        <v>#VALUE!</v>
      </c>
      <c r="L13">
        <f t="shared" si="0"/>
        <v>0</v>
      </c>
    </row>
    <row r="14" spans="1:12" x14ac:dyDescent="0.3">
      <c r="A14" t="s">
        <v>21</v>
      </c>
      <c r="B14" t="s">
        <v>136</v>
      </c>
      <c r="C14" t="s">
        <v>137</v>
      </c>
      <c r="D14" t="s">
        <v>138</v>
      </c>
      <c r="E14" t="s">
        <v>139</v>
      </c>
      <c r="F14" t="s">
        <v>102</v>
      </c>
      <c r="G14" t="s">
        <v>140</v>
      </c>
      <c r="H14" t="s">
        <v>141</v>
      </c>
      <c r="J14" t="str">
        <f>H14</f>
        <v>Audit score (0–100)</v>
      </c>
      <c r="L14">
        <f t="shared" si="0"/>
        <v>0</v>
      </c>
    </row>
    <row r="15" spans="1:12" x14ac:dyDescent="0.3">
      <c r="A15" t="s">
        <v>142</v>
      </c>
      <c r="B15" t="s">
        <v>143</v>
      </c>
      <c r="C15" t="s">
        <v>144</v>
      </c>
      <c r="D15" t="s">
        <v>145</v>
      </c>
      <c r="E15" t="s">
        <v>146</v>
      </c>
      <c r="F15" t="s">
        <v>77</v>
      </c>
      <c r="G15" t="s">
        <v>147</v>
      </c>
      <c r="H15" t="s">
        <v>148</v>
      </c>
      <c r="I15" t="s">
        <v>149</v>
      </c>
      <c r="J15" t="e">
        <f>IF(I15&gt;0,H15/I15,0)</f>
        <v>#VALUE!</v>
      </c>
      <c r="L15">
        <f t="shared" si="0"/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4.4" x14ac:dyDescent="0.3"/>
  <sheetData>
    <row r="1" spans="1:4" x14ac:dyDescent="0.3">
      <c r="A1" t="s">
        <v>150</v>
      </c>
      <c r="B1" t="s">
        <v>151</v>
      </c>
      <c r="C1" t="s">
        <v>152</v>
      </c>
      <c r="D1" t="s">
        <v>153</v>
      </c>
    </row>
    <row r="2" spans="1:4" x14ac:dyDescent="0.3">
      <c r="A2" t="s">
        <v>154</v>
      </c>
      <c r="B2" t="s">
        <v>155</v>
      </c>
      <c r="C2" t="s">
        <v>156</v>
      </c>
      <c r="D2" t="s">
        <v>157</v>
      </c>
    </row>
    <row r="3" spans="1:4" x14ac:dyDescent="0.3">
      <c r="A3" t="s">
        <v>158</v>
      </c>
      <c r="B3" t="s">
        <v>159</v>
      </c>
      <c r="C3" t="s">
        <v>160</v>
      </c>
      <c r="D3" t="s">
        <v>161</v>
      </c>
    </row>
    <row r="4" spans="1:4" x14ac:dyDescent="0.3">
      <c r="A4" t="s">
        <v>162</v>
      </c>
      <c r="B4" t="s">
        <v>163</v>
      </c>
      <c r="C4" t="s">
        <v>164</v>
      </c>
      <c r="D4" t="s">
        <v>165</v>
      </c>
    </row>
    <row r="5" spans="1:4" x14ac:dyDescent="0.3">
      <c r="A5" t="s">
        <v>166</v>
      </c>
      <c r="B5" t="s">
        <v>167</v>
      </c>
      <c r="C5" t="s">
        <v>168</v>
      </c>
      <c r="D5" t="s">
        <v>169</v>
      </c>
    </row>
    <row r="6" spans="1:4" x14ac:dyDescent="0.3">
      <c r="A6" t="s">
        <v>170</v>
      </c>
      <c r="B6" t="s">
        <v>171</v>
      </c>
      <c r="C6" t="s">
        <v>172</v>
      </c>
      <c r="D6" t="s">
        <v>173</v>
      </c>
    </row>
    <row r="7" spans="1:4" x14ac:dyDescent="0.3">
      <c r="A7" t="s">
        <v>174</v>
      </c>
      <c r="B7" t="s">
        <v>175</v>
      </c>
      <c r="C7" t="s">
        <v>176</v>
      </c>
      <c r="D7" t="s">
        <v>177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"/>
  <sheetViews>
    <sheetView tabSelected="1" workbookViewId="0">
      <selection activeCell="O1" sqref="O1"/>
    </sheetView>
  </sheetViews>
  <sheetFormatPr defaultRowHeight="14.4" x14ac:dyDescent="0.3"/>
  <sheetData>
    <row r="1" spans="1:16" x14ac:dyDescent="0.3">
      <c r="A1" t="s">
        <v>178</v>
      </c>
      <c r="B1" t="s">
        <v>179</v>
      </c>
      <c r="C1" t="s">
        <v>180</v>
      </c>
      <c r="D1" t="s">
        <v>181</v>
      </c>
      <c r="E1" t="s">
        <v>2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  <c r="K1" t="s">
        <v>187</v>
      </c>
      <c r="L1" t="s">
        <v>188</v>
      </c>
      <c r="M1" t="s">
        <v>189</v>
      </c>
      <c r="N1" t="s">
        <v>190</v>
      </c>
      <c r="O1" t="s">
        <v>191</v>
      </c>
      <c r="P1" t="s">
        <v>192</v>
      </c>
    </row>
    <row r="2" spans="1:16" x14ac:dyDescent="0.3">
      <c r="A2" t="s">
        <v>193</v>
      </c>
      <c r="B2" t="s">
        <v>194</v>
      </c>
      <c r="C2" t="s">
        <v>195</v>
      </c>
      <c r="D2" t="s">
        <v>196</v>
      </c>
      <c r="E2" t="s">
        <v>197</v>
      </c>
      <c r="F2" t="s">
        <v>198</v>
      </c>
      <c r="G2" t="s">
        <v>199</v>
      </c>
      <c r="H2" t="s">
        <v>200</v>
      </c>
      <c r="J2" t="s">
        <v>201</v>
      </c>
      <c r="K2" t="s">
        <v>202</v>
      </c>
      <c r="L2" t="s">
        <v>203</v>
      </c>
      <c r="M2" t="s">
        <v>204</v>
      </c>
      <c r="N2" t="s">
        <v>205</v>
      </c>
    </row>
    <row r="3" spans="1:16" x14ac:dyDescent="0.3">
      <c r="A3" t="s">
        <v>206</v>
      </c>
      <c r="B3" t="s">
        <v>207</v>
      </c>
      <c r="C3" t="s">
        <v>208</v>
      </c>
      <c r="D3" t="s">
        <v>196</v>
      </c>
      <c r="E3" t="s">
        <v>209</v>
      </c>
      <c r="F3" t="s">
        <v>210</v>
      </c>
      <c r="G3" t="s">
        <v>211</v>
      </c>
      <c r="H3" t="s">
        <v>200</v>
      </c>
      <c r="J3" t="s">
        <v>201</v>
      </c>
      <c r="K3" t="s">
        <v>212</v>
      </c>
      <c r="L3" t="s">
        <v>213</v>
      </c>
      <c r="M3" t="s">
        <v>133</v>
      </c>
      <c r="N3" t="s">
        <v>214</v>
      </c>
    </row>
    <row r="4" spans="1:16" x14ac:dyDescent="0.3">
      <c r="A4" t="s">
        <v>215</v>
      </c>
      <c r="B4" t="s">
        <v>216</v>
      </c>
      <c r="C4" t="s">
        <v>217</v>
      </c>
      <c r="D4" t="s">
        <v>218</v>
      </c>
      <c r="E4" t="s">
        <v>219</v>
      </c>
      <c r="F4" t="s">
        <v>220</v>
      </c>
      <c r="G4" t="s">
        <v>221</v>
      </c>
      <c r="H4" t="s">
        <v>200</v>
      </c>
      <c r="J4" t="s">
        <v>201</v>
      </c>
      <c r="K4" t="s">
        <v>222</v>
      </c>
      <c r="L4" t="s">
        <v>223</v>
      </c>
      <c r="M4" t="s">
        <v>224</v>
      </c>
      <c r="N4" t="s">
        <v>225</v>
      </c>
    </row>
    <row r="6" spans="1:16" x14ac:dyDescent="0.3">
      <c r="E6" t="s">
        <v>226</v>
      </c>
      <c r="F6">
        <f>SUM(G2:G4)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/>
  </sheetViews>
  <sheetFormatPr defaultRowHeight="14.4" x14ac:dyDescent="0.3"/>
  <sheetData>
    <row r="1" spans="1:7" x14ac:dyDescent="0.3">
      <c r="A1" t="s">
        <v>178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192</v>
      </c>
    </row>
    <row r="2" spans="1:7" x14ac:dyDescent="0.3">
      <c r="A2" t="s">
        <v>193</v>
      </c>
      <c r="D2" t="s">
        <v>232</v>
      </c>
      <c r="E2" t="s">
        <v>204</v>
      </c>
      <c r="F2" t="s">
        <v>201</v>
      </c>
    </row>
    <row r="3" spans="1:7" x14ac:dyDescent="0.3">
      <c r="A3" t="s">
        <v>206</v>
      </c>
      <c r="D3" t="s">
        <v>233</v>
      </c>
      <c r="E3" t="s">
        <v>133</v>
      </c>
      <c r="F3" t="s">
        <v>201</v>
      </c>
    </row>
    <row r="4" spans="1:7" x14ac:dyDescent="0.3">
      <c r="A4" t="s">
        <v>215</v>
      </c>
      <c r="D4" t="s">
        <v>234</v>
      </c>
      <c r="E4" t="s">
        <v>224</v>
      </c>
      <c r="F4" t="s">
        <v>201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/>
  </sheetViews>
  <sheetFormatPr defaultRowHeight="14.4" x14ac:dyDescent="0.3"/>
  <sheetData>
    <row r="1" spans="1:4" x14ac:dyDescent="0.3">
      <c r="A1" t="s">
        <v>235</v>
      </c>
      <c r="B1" t="s">
        <v>236</v>
      </c>
      <c r="C1" t="s">
        <v>237</v>
      </c>
      <c r="D1" t="s">
        <v>238</v>
      </c>
    </row>
    <row r="2" spans="1:4" x14ac:dyDescent="0.3">
      <c r="A2" t="s">
        <v>193</v>
      </c>
      <c r="B2" t="s">
        <v>239</v>
      </c>
      <c r="C2" t="s">
        <v>240</v>
      </c>
      <c r="D2" t="s">
        <v>241</v>
      </c>
    </row>
    <row r="3" spans="1:4" x14ac:dyDescent="0.3">
      <c r="A3" t="s">
        <v>242</v>
      </c>
      <c r="B3" t="s">
        <v>243</v>
      </c>
      <c r="C3" t="s">
        <v>244</v>
      </c>
      <c r="D3" t="s">
        <v>245</v>
      </c>
    </row>
    <row r="4" spans="1:4" x14ac:dyDescent="0.3">
      <c r="A4" t="s">
        <v>246</v>
      </c>
      <c r="B4" t="s">
        <v>247</v>
      </c>
      <c r="C4" t="s">
        <v>248</v>
      </c>
      <c r="D4" t="s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ESG Strategy</vt:lpstr>
      <vt:lpstr>Compliance Matrix</vt:lpstr>
      <vt:lpstr>Certification Roadmap</vt:lpstr>
      <vt:lpstr>Grant Tracker</vt:lpstr>
      <vt:lpstr>Grant Application Timeline</vt:lpstr>
      <vt:lpstr>Investor Grant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 Toscano</cp:lastModifiedBy>
  <dcterms:created xsi:type="dcterms:W3CDTF">2025-12-11T16:53:44Z</dcterms:created>
  <dcterms:modified xsi:type="dcterms:W3CDTF">2025-12-12T15:35:19Z</dcterms:modified>
</cp:coreProperties>
</file>